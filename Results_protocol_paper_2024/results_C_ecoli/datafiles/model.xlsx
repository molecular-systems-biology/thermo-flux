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Scripts\thermo_flux\examples\ecoli\GSM\"/>
    </mc:Choice>
  </mc:AlternateContent>
  <bookViews>
    <workbookView xWindow="-105" yWindow="-105" windowWidth="23250" windowHeight="12720"/>
  </bookViews>
  <sheets>
    <sheet name="Parameters" sheetId="4" r:id="rId1"/>
    <sheet name="Exchange reactions" sheetId="6" r:id="rId2"/>
    <sheet name="Reactions" sheetId="5" r:id="rId3"/>
    <sheet name="Biomass Composition" sheetId="7" r:id="rId4"/>
    <sheet name="Transmembrane reactions" sheetId="12" r:id="rId5"/>
    <sheet name="Metabolites" sheetId="9" r:id="rId6"/>
    <sheet name="references" sheetId="13" r:id="rId7"/>
    <sheet name="Transmembrane_reactions_reed" sheetId="11" r:id="rId8"/>
    <sheet name="Transmembrane reactions_Orth" sheetId="8" r:id="rId9"/>
    <sheet name="Transmembrane reactions old" sheetId="10" r:id="rId10"/>
    <sheet name="Sheet3" sheetId="14" r:id="rId11"/>
    <sheet name="log" sheetId="15" r:id="rId12"/>
    <sheet name="subsystems" sheetId="16" r:id="rId13"/>
  </sheet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105" i="12"/>
  <c r="E356" i="9"/>
  <c r="D356" i="9"/>
  <c r="C356" i="9"/>
  <c r="B356" i="9"/>
  <c r="B21" i="9"/>
  <c r="C21" i="9"/>
  <c r="B27" i="9"/>
  <c r="C27" i="9"/>
  <c r="B64" i="9"/>
  <c r="C64" i="9"/>
  <c r="B66" i="9"/>
  <c r="C66" i="9"/>
  <c r="B74" i="9"/>
  <c r="C74" i="9"/>
  <c r="B113" i="9"/>
  <c r="C113" i="9"/>
  <c r="B114" i="9"/>
  <c r="C114" i="9"/>
  <c r="B116" i="9"/>
  <c r="C116" i="9"/>
  <c r="B126" i="9"/>
  <c r="C126" i="9"/>
  <c r="B134" i="9"/>
  <c r="C134" i="9"/>
  <c r="B135" i="9"/>
  <c r="C135" i="9"/>
  <c r="B152" i="9"/>
  <c r="C152" i="9"/>
  <c r="B156" i="9"/>
  <c r="C156" i="9"/>
  <c r="B157" i="9"/>
  <c r="C157" i="9"/>
  <c r="B164" i="9"/>
  <c r="C164" i="9"/>
  <c r="B172" i="9"/>
  <c r="C172" i="9"/>
  <c r="B174" i="9"/>
  <c r="C174" i="9"/>
  <c r="B176" i="9"/>
  <c r="C176" i="9"/>
  <c r="B177" i="9"/>
  <c r="C177" i="9"/>
  <c r="B185" i="9"/>
  <c r="C185" i="9"/>
  <c r="B197" i="9"/>
  <c r="C197" i="9"/>
  <c r="B200" i="9"/>
  <c r="C200" i="9"/>
  <c r="B205" i="9"/>
  <c r="C205" i="9"/>
  <c r="B210" i="9"/>
  <c r="C210" i="9"/>
  <c r="B215" i="9"/>
  <c r="C215" i="9"/>
  <c r="B216" i="9"/>
  <c r="C216" i="9"/>
  <c r="B218" i="9"/>
  <c r="C218" i="9"/>
  <c r="B219" i="9"/>
  <c r="C219" i="9"/>
  <c r="B229" i="9"/>
  <c r="C229" i="9"/>
  <c r="B233" i="9"/>
  <c r="C233" i="9"/>
  <c r="B235" i="9"/>
  <c r="C235" i="9"/>
  <c r="B246" i="9"/>
  <c r="C246" i="9"/>
  <c r="B251" i="9"/>
  <c r="C251" i="9"/>
  <c r="B252" i="9"/>
  <c r="C252" i="9"/>
  <c r="B267" i="9"/>
  <c r="C267" i="9"/>
  <c r="B277" i="9"/>
  <c r="C277" i="9"/>
  <c r="B288" i="9"/>
  <c r="C288" i="9"/>
  <c r="B292" i="9"/>
  <c r="C292" i="9"/>
  <c r="B294" i="9"/>
  <c r="C294" i="9"/>
  <c r="B296" i="9"/>
  <c r="C296" i="9"/>
  <c r="B304" i="9"/>
  <c r="C304" i="9"/>
  <c r="B305" i="9"/>
  <c r="C305" i="9"/>
  <c r="B307" i="9"/>
  <c r="C307" i="9"/>
  <c r="B308" i="9"/>
  <c r="C308" i="9"/>
  <c r="B311" i="9"/>
  <c r="C311" i="9"/>
  <c r="B312" i="9"/>
  <c r="C312" i="9"/>
  <c r="B323" i="9"/>
  <c r="C323" i="9"/>
  <c r="B324" i="9"/>
  <c r="C324" i="9"/>
  <c r="B325" i="9"/>
  <c r="C325" i="9"/>
  <c r="B326" i="9"/>
  <c r="C326" i="9"/>
  <c r="B327" i="9"/>
  <c r="C327" i="9"/>
  <c r="B333" i="9"/>
  <c r="C333" i="9"/>
  <c r="B336" i="9"/>
  <c r="C336" i="9"/>
  <c r="B338" i="9"/>
  <c r="C338" i="9"/>
  <c r="B339" i="9"/>
  <c r="C339" i="9"/>
  <c r="B340" i="9"/>
  <c r="C340" i="9"/>
  <c r="B341" i="9"/>
  <c r="C341" i="9"/>
  <c r="B350" i="9"/>
  <c r="C350" i="9"/>
  <c r="B355" i="9"/>
  <c r="C355" i="9"/>
  <c r="B357" i="9"/>
  <c r="C357" i="9"/>
  <c r="B363" i="9"/>
  <c r="C363" i="9"/>
  <c r="B367" i="9"/>
  <c r="C367" i="9"/>
  <c r="B377" i="9"/>
  <c r="C377" i="9"/>
  <c r="B381" i="9"/>
  <c r="C381" i="9"/>
  <c r="B383" i="9"/>
  <c r="C383" i="9"/>
  <c r="B386" i="9"/>
  <c r="C386" i="9"/>
  <c r="B388" i="9"/>
  <c r="C388" i="9"/>
  <c r="B391" i="9"/>
  <c r="C391" i="9"/>
  <c r="B398" i="9"/>
  <c r="C398" i="9"/>
  <c r="B399" i="9"/>
  <c r="C399" i="9"/>
  <c r="B402" i="9"/>
  <c r="C402" i="9"/>
  <c r="B410" i="9"/>
  <c r="C410" i="9"/>
  <c r="B413" i="9"/>
  <c r="C413" i="9"/>
  <c r="B414" i="9"/>
  <c r="C414" i="9"/>
  <c r="B417" i="9"/>
  <c r="C417" i="9"/>
  <c r="B418" i="9"/>
  <c r="C418" i="9"/>
  <c r="B419" i="9"/>
  <c r="C419" i="9"/>
  <c r="B420" i="9"/>
  <c r="C420" i="9"/>
  <c r="B421" i="9"/>
  <c r="C421" i="9"/>
  <c r="B423" i="9"/>
  <c r="C423" i="9"/>
  <c r="B428" i="9"/>
  <c r="C428" i="9"/>
  <c r="B442" i="9"/>
  <c r="C442" i="9"/>
  <c r="B443" i="9"/>
  <c r="C443" i="9"/>
  <c r="B444" i="9"/>
  <c r="C444" i="9"/>
  <c r="B449" i="9"/>
  <c r="C449" i="9"/>
  <c r="B451" i="9"/>
  <c r="C451" i="9"/>
  <c r="B452" i="9"/>
  <c r="C452" i="9"/>
  <c r="B453" i="9"/>
  <c r="C453" i="9"/>
  <c r="B454" i="9"/>
  <c r="C454" i="9"/>
  <c r="B457" i="9"/>
  <c r="C457" i="9"/>
  <c r="B463" i="9"/>
  <c r="C463" i="9"/>
  <c r="B483" i="9"/>
  <c r="C483" i="9"/>
  <c r="B488" i="9"/>
  <c r="C488" i="9"/>
  <c r="B490" i="9"/>
  <c r="C490" i="9"/>
  <c r="B500" i="9"/>
  <c r="C500" i="9"/>
  <c r="B507" i="9"/>
  <c r="C507" i="9"/>
  <c r="B511" i="9"/>
  <c r="C511" i="9"/>
  <c r="B517" i="9"/>
  <c r="C517" i="9"/>
  <c r="B542" i="9"/>
  <c r="C542" i="9"/>
  <c r="B549" i="9"/>
  <c r="C549" i="9"/>
  <c r="B550" i="9"/>
  <c r="C550" i="9"/>
  <c r="B556" i="9"/>
  <c r="C556" i="9"/>
  <c r="B576" i="9"/>
  <c r="C576" i="9"/>
  <c r="B578" i="9"/>
  <c r="C578" i="9"/>
  <c r="B579" i="9"/>
  <c r="C579" i="9"/>
  <c r="B580" i="9"/>
  <c r="C580" i="9"/>
  <c r="B583" i="9"/>
  <c r="C583" i="9"/>
  <c r="B586" i="9"/>
  <c r="C586" i="9"/>
  <c r="B588" i="9"/>
  <c r="C588" i="9"/>
  <c r="B590" i="9"/>
  <c r="C590" i="9"/>
  <c r="B617" i="9"/>
  <c r="C617" i="9"/>
  <c r="B620" i="9"/>
  <c r="C620" i="9"/>
  <c r="B622" i="9"/>
  <c r="C622" i="9"/>
  <c r="B623" i="9"/>
  <c r="C623" i="9"/>
  <c r="B625" i="9"/>
  <c r="C625" i="9"/>
  <c r="B628" i="9"/>
  <c r="C628" i="9"/>
  <c r="B6" i="9"/>
  <c r="C6" i="9"/>
  <c r="B120" i="9"/>
  <c r="C120" i="9"/>
  <c r="B124" i="9"/>
  <c r="C124" i="9"/>
  <c r="B158" i="9"/>
  <c r="C158" i="9"/>
  <c r="B189" i="9"/>
  <c r="C189" i="9"/>
  <c r="B208" i="9"/>
  <c r="C208" i="9"/>
  <c r="B285" i="9"/>
  <c r="C285" i="9"/>
  <c r="B295" i="9"/>
  <c r="C295" i="9"/>
  <c r="B309" i="9"/>
  <c r="C309" i="9"/>
  <c r="B316" i="9"/>
  <c r="C316" i="9"/>
  <c r="B337" i="9"/>
  <c r="C337" i="9"/>
  <c r="B401" i="9"/>
  <c r="C401" i="9"/>
  <c r="B425" i="9"/>
  <c r="C425" i="9"/>
  <c r="B426" i="9"/>
  <c r="C426" i="9"/>
  <c r="B434" i="9"/>
  <c r="C434" i="9"/>
  <c r="B526" i="9"/>
  <c r="C526" i="9"/>
  <c r="B530" i="9"/>
  <c r="C530" i="9"/>
  <c r="B535" i="9"/>
  <c r="C535" i="9"/>
  <c r="B541" i="9"/>
  <c r="C541" i="9"/>
  <c r="B562" i="9"/>
  <c r="C562" i="9"/>
  <c r="B567" i="9"/>
  <c r="C567" i="9"/>
  <c r="B568" i="9"/>
  <c r="C568" i="9"/>
  <c r="B573" i="9"/>
  <c r="C573" i="9"/>
  <c r="B587" i="9"/>
  <c r="C587" i="9"/>
  <c r="B619" i="9"/>
  <c r="C619" i="9"/>
  <c r="C8" i="9"/>
  <c r="B8" i="9"/>
  <c r="D361" i="9"/>
  <c r="E361" i="9"/>
  <c r="D362" i="9"/>
  <c r="E362" i="9"/>
  <c r="D363" i="9"/>
  <c r="E363" i="9"/>
  <c r="D364" i="9"/>
  <c r="E364" i="9"/>
  <c r="D365" i="9"/>
  <c r="E365" i="9"/>
  <c r="D367" i="9"/>
  <c r="E367" i="9"/>
  <c r="D368" i="9"/>
  <c r="E368" i="9"/>
  <c r="D369" i="9"/>
  <c r="E369" i="9"/>
  <c r="D374" i="9"/>
  <c r="E374" i="9"/>
  <c r="D375" i="9"/>
  <c r="E375" i="9"/>
  <c r="D377" i="9"/>
  <c r="E377" i="9"/>
  <c r="D378" i="9"/>
  <c r="E378" i="9"/>
  <c r="D380" i="9"/>
  <c r="E380" i="9"/>
  <c r="D381" i="9"/>
  <c r="E381" i="9"/>
  <c r="D383" i="9"/>
  <c r="E383" i="9"/>
  <c r="D384" i="9"/>
  <c r="E384" i="9"/>
  <c r="D385" i="9"/>
  <c r="E385" i="9"/>
  <c r="D386" i="9"/>
  <c r="E386" i="9"/>
  <c r="D388" i="9"/>
  <c r="E388" i="9"/>
  <c r="D389" i="9"/>
  <c r="E389" i="9"/>
  <c r="D391" i="9"/>
  <c r="E391" i="9"/>
  <c r="D392" i="9"/>
  <c r="E392" i="9"/>
  <c r="D396" i="9"/>
  <c r="E396" i="9"/>
  <c r="D398" i="9"/>
  <c r="E398" i="9"/>
  <c r="D399" i="9"/>
  <c r="E399" i="9"/>
  <c r="D402" i="9"/>
  <c r="E402" i="9"/>
  <c r="D403" i="9"/>
  <c r="E403" i="9"/>
  <c r="D406" i="9"/>
  <c r="E406" i="9"/>
  <c r="D407" i="9"/>
  <c r="E407" i="9"/>
  <c r="D408" i="9"/>
  <c r="E408" i="9"/>
  <c r="D409" i="9"/>
  <c r="E409" i="9"/>
  <c r="D410" i="9"/>
  <c r="E410" i="9"/>
  <c r="D411" i="9"/>
  <c r="E411" i="9"/>
  <c r="D412" i="9"/>
  <c r="E412" i="9"/>
  <c r="D413" i="9"/>
  <c r="E413" i="9"/>
  <c r="D414" i="9"/>
  <c r="E414" i="9"/>
  <c r="D416" i="9"/>
  <c r="E416" i="9"/>
  <c r="D417" i="9"/>
  <c r="E417" i="9"/>
  <c r="D418" i="9"/>
  <c r="E418" i="9"/>
  <c r="D419" i="9"/>
  <c r="E419" i="9"/>
  <c r="D420" i="9"/>
  <c r="E420" i="9"/>
  <c r="D421" i="9"/>
  <c r="E421" i="9"/>
  <c r="D423" i="9"/>
  <c r="E423" i="9"/>
  <c r="D427" i="9"/>
  <c r="E427" i="9"/>
  <c r="D428" i="9"/>
  <c r="E428" i="9"/>
  <c r="D430" i="9"/>
  <c r="E430" i="9"/>
  <c r="D431" i="9"/>
  <c r="E431" i="9"/>
  <c r="D432" i="9"/>
  <c r="E432" i="9"/>
  <c r="D433" i="9"/>
  <c r="E433" i="9"/>
  <c r="D436" i="9"/>
  <c r="E436" i="9"/>
  <c r="D437" i="9"/>
  <c r="E437" i="9"/>
  <c r="D438" i="9"/>
  <c r="E438" i="9"/>
  <c r="D439" i="9"/>
  <c r="E439" i="9"/>
  <c r="D442" i="9"/>
  <c r="E442" i="9"/>
  <c r="D443" i="9"/>
  <c r="E443" i="9"/>
  <c r="D444" i="9"/>
  <c r="E444" i="9"/>
  <c r="D445" i="9"/>
  <c r="E445" i="9"/>
  <c r="D446" i="9"/>
  <c r="E446" i="9"/>
  <c r="D447" i="9"/>
  <c r="E447" i="9"/>
  <c r="D448" i="9"/>
  <c r="E448" i="9"/>
  <c r="D449" i="9"/>
  <c r="E449" i="9"/>
  <c r="D450" i="9"/>
  <c r="E450" i="9"/>
  <c r="D451" i="9"/>
  <c r="E451" i="9"/>
  <c r="D452" i="9"/>
  <c r="E452" i="9"/>
  <c r="D453" i="9"/>
  <c r="E453" i="9"/>
  <c r="D454" i="9"/>
  <c r="E454" i="9"/>
  <c r="D456" i="9"/>
  <c r="E456" i="9"/>
  <c r="D457" i="9"/>
  <c r="E457" i="9"/>
  <c r="D458" i="9"/>
  <c r="E458" i="9"/>
  <c r="D460" i="9"/>
  <c r="E460" i="9"/>
  <c r="D463" i="9"/>
  <c r="E463" i="9"/>
  <c r="D464" i="9"/>
  <c r="E464" i="9"/>
  <c r="D465" i="9"/>
  <c r="E465" i="9"/>
  <c r="D468" i="9"/>
  <c r="E468" i="9"/>
  <c r="D469" i="9"/>
  <c r="E469" i="9"/>
  <c r="D470" i="9"/>
  <c r="E470" i="9"/>
  <c r="D471" i="9"/>
  <c r="E471" i="9"/>
  <c r="D472" i="9"/>
  <c r="E472" i="9"/>
  <c r="D473" i="9"/>
  <c r="E473" i="9"/>
  <c r="D475" i="9"/>
  <c r="E475" i="9"/>
  <c r="D477" i="9"/>
  <c r="E477" i="9"/>
  <c r="D478" i="9"/>
  <c r="E478" i="9"/>
  <c r="D479" i="9"/>
  <c r="E479" i="9"/>
  <c r="D480" i="9"/>
  <c r="E480" i="9"/>
  <c r="D481" i="9"/>
  <c r="E481" i="9"/>
  <c r="D483" i="9"/>
  <c r="E483" i="9"/>
  <c r="D485" i="9"/>
  <c r="E485" i="9"/>
  <c r="D486" i="9"/>
  <c r="E486" i="9"/>
  <c r="D488" i="9"/>
  <c r="E488" i="9"/>
  <c r="D490" i="9"/>
  <c r="E490" i="9"/>
  <c r="D491" i="9"/>
  <c r="E491" i="9"/>
  <c r="D492" i="9"/>
  <c r="E492" i="9"/>
  <c r="D494" i="9"/>
  <c r="E494" i="9"/>
  <c r="D495" i="9"/>
  <c r="E495" i="9"/>
  <c r="D496" i="9"/>
  <c r="E496" i="9"/>
  <c r="D500" i="9"/>
  <c r="E500" i="9"/>
  <c r="D501" i="9"/>
  <c r="E501" i="9"/>
  <c r="D502" i="9"/>
  <c r="E502" i="9"/>
  <c r="D505" i="9"/>
  <c r="E505" i="9"/>
  <c r="D506" i="9"/>
  <c r="E506" i="9"/>
  <c r="D507" i="9"/>
  <c r="E507" i="9"/>
  <c r="D508" i="9"/>
  <c r="E508" i="9"/>
  <c r="D509" i="9"/>
  <c r="E509" i="9"/>
  <c r="D510" i="9"/>
  <c r="E510" i="9"/>
  <c r="D511" i="9"/>
  <c r="E511" i="9"/>
  <c r="D512" i="9"/>
  <c r="E512" i="9"/>
  <c r="D513" i="9"/>
  <c r="E513" i="9"/>
  <c r="D514" i="9"/>
  <c r="E514" i="9"/>
  <c r="D515" i="9"/>
  <c r="E515" i="9"/>
  <c r="D516" i="9"/>
  <c r="E516" i="9"/>
  <c r="D517" i="9"/>
  <c r="E517" i="9"/>
  <c r="D518" i="9"/>
  <c r="E518" i="9"/>
  <c r="D519" i="9"/>
  <c r="E519" i="9"/>
  <c r="D520" i="9"/>
  <c r="E520" i="9"/>
  <c r="D521" i="9"/>
  <c r="E521" i="9"/>
  <c r="D522" i="9"/>
  <c r="E522" i="9"/>
  <c r="D527" i="9"/>
  <c r="E527" i="9"/>
  <c r="D531" i="9"/>
  <c r="E531" i="9"/>
  <c r="D533" i="9"/>
  <c r="E533" i="9"/>
  <c r="D542" i="9"/>
  <c r="E542" i="9"/>
  <c r="D544" i="9"/>
  <c r="E544" i="9"/>
  <c r="D545" i="9"/>
  <c r="E545" i="9"/>
  <c r="D546" i="9"/>
  <c r="E546" i="9"/>
  <c r="D547" i="9"/>
  <c r="E547" i="9"/>
  <c r="D548" i="9"/>
  <c r="E548" i="9"/>
  <c r="D549" i="9"/>
  <c r="E549" i="9"/>
  <c r="D550" i="9"/>
  <c r="E550" i="9"/>
  <c r="D554" i="9"/>
  <c r="E554" i="9"/>
  <c r="D556" i="9"/>
  <c r="E556" i="9"/>
  <c r="D557" i="9"/>
  <c r="E557" i="9"/>
  <c r="D558" i="9"/>
  <c r="E558" i="9"/>
  <c r="D559" i="9"/>
  <c r="E559" i="9"/>
  <c r="D560" i="9"/>
  <c r="E560" i="9"/>
  <c r="D561" i="9"/>
  <c r="E561" i="9"/>
  <c r="D563" i="9"/>
  <c r="E563" i="9"/>
  <c r="D570" i="9"/>
  <c r="E570" i="9"/>
  <c r="D571" i="9"/>
  <c r="E571" i="9"/>
  <c r="D572" i="9"/>
  <c r="E572" i="9"/>
  <c r="D576" i="9"/>
  <c r="E576" i="9"/>
  <c r="D578" i="9"/>
  <c r="E578" i="9"/>
  <c r="D579" i="9"/>
  <c r="E579" i="9"/>
  <c r="D580" i="9"/>
  <c r="E580" i="9"/>
  <c r="D581" i="9"/>
  <c r="E581" i="9"/>
  <c r="D582" i="9"/>
  <c r="E582" i="9"/>
  <c r="D583" i="9"/>
  <c r="E583" i="9"/>
  <c r="D584" i="9"/>
  <c r="E584" i="9"/>
  <c r="D586" i="9"/>
  <c r="E586" i="9"/>
  <c r="D588" i="9"/>
  <c r="E588" i="9"/>
  <c r="D589" i="9"/>
  <c r="E589" i="9"/>
  <c r="D590" i="9"/>
  <c r="E590" i="9"/>
  <c r="D591" i="9"/>
  <c r="E591" i="9"/>
  <c r="D592" i="9"/>
  <c r="E592" i="9"/>
  <c r="D593" i="9"/>
  <c r="E593" i="9"/>
  <c r="D594" i="9"/>
  <c r="E594" i="9"/>
  <c r="D595" i="9"/>
  <c r="E595" i="9"/>
  <c r="D596" i="9"/>
  <c r="E596" i="9"/>
  <c r="D599" i="9"/>
  <c r="E599" i="9"/>
  <c r="D600" i="9"/>
  <c r="E600" i="9"/>
  <c r="D601" i="9"/>
  <c r="E601" i="9"/>
  <c r="D602" i="9"/>
  <c r="E602" i="9"/>
  <c r="D603" i="9"/>
  <c r="E603" i="9"/>
  <c r="D604" i="9"/>
  <c r="E604" i="9"/>
  <c r="D605" i="9"/>
  <c r="E605" i="9"/>
  <c r="D606" i="9"/>
  <c r="E606" i="9"/>
  <c r="D607" i="9"/>
  <c r="E607" i="9"/>
  <c r="D610" i="9"/>
  <c r="E610" i="9"/>
  <c r="D611" i="9"/>
  <c r="E611" i="9"/>
  <c r="D612" i="9"/>
  <c r="E612" i="9"/>
  <c r="D617" i="9"/>
  <c r="E617" i="9"/>
  <c r="D620" i="9"/>
  <c r="E620" i="9"/>
  <c r="D621" i="9"/>
  <c r="E621" i="9"/>
  <c r="D622" i="9"/>
  <c r="E622" i="9"/>
  <c r="D623" i="9"/>
  <c r="E623" i="9"/>
  <c r="D624" i="9"/>
  <c r="E624" i="9"/>
  <c r="D625" i="9"/>
  <c r="E625" i="9"/>
  <c r="D626" i="9"/>
  <c r="E626" i="9"/>
  <c r="D628" i="9"/>
  <c r="E628" i="9"/>
  <c r="D629" i="9"/>
  <c r="E629" i="9"/>
  <c r="D6" i="9"/>
  <c r="E6" i="9"/>
  <c r="D10" i="9"/>
  <c r="E10" i="9"/>
  <c r="D11" i="9"/>
  <c r="E11" i="9"/>
  <c r="D12" i="9"/>
  <c r="E12" i="9"/>
  <c r="D16" i="9"/>
  <c r="E16" i="9"/>
  <c r="D28" i="9"/>
  <c r="E28" i="9"/>
  <c r="D29" i="9"/>
  <c r="E29" i="9"/>
  <c r="D40" i="9"/>
  <c r="E40" i="9"/>
  <c r="D43" i="9"/>
  <c r="E43" i="9"/>
  <c r="D44" i="9"/>
  <c r="E44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4" i="9"/>
  <c r="E54" i="9"/>
  <c r="D55" i="9"/>
  <c r="E55" i="9"/>
  <c r="D60" i="9"/>
  <c r="E60" i="9"/>
  <c r="D61" i="9"/>
  <c r="E61" i="9"/>
  <c r="D70" i="9"/>
  <c r="E70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7" i="9"/>
  <c r="E87" i="9"/>
  <c r="D89" i="9"/>
  <c r="E89" i="9"/>
  <c r="D94" i="9"/>
  <c r="E94" i="9"/>
  <c r="D99" i="9"/>
  <c r="E99" i="9"/>
  <c r="D105" i="9"/>
  <c r="E105" i="9"/>
  <c r="D110" i="9"/>
  <c r="E110" i="9"/>
  <c r="D111" i="9"/>
  <c r="E111" i="9"/>
  <c r="D112" i="9"/>
  <c r="E112" i="9"/>
  <c r="D120" i="9"/>
  <c r="E120" i="9"/>
  <c r="D122" i="9"/>
  <c r="E122" i="9"/>
  <c r="D124" i="9"/>
  <c r="E124" i="9"/>
  <c r="D125" i="9"/>
  <c r="E125" i="9"/>
  <c r="D127" i="9"/>
  <c r="E127" i="9"/>
  <c r="D128" i="9"/>
  <c r="E128" i="9"/>
  <c r="D136" i="9"/>
  <c r="E136" i="9"/>
  <c r="D137" i="9"/>
  <c r="E137" i="9"/>
  <c r="D138" i="9"/>
  <c r="E138" i="9"/>
  <c r="D143" i="9"/>
  <c r="E143" i="9"/>
  <c r="D144" i="9"/>
  <c r="E144" i="9"/>
  <c r="D145" i="9"/>
  <c r="E145" i="9"/>
  <c r="D148" i="9"/>
  <c r="E148" i="9"/>
  <c r="D158" i="9"/>
  <c r="E158" i="9"/>
  <c r="D159" i="9"/>
  <c r="E159" i="9"/>
  <c r="D160" i="9"/>
  <c r="E160" i="9"/>
  <c r="D163" i="9"/>
  <c r="E163" i="9"/>
  <c r="D166" i="9"/>
  <c r="E166" i="9"/>
  <c r="D167" i="9"/>
  <c r="E167" i="9"/>
  <c r="D169" i="9"/>
  <c r="E169" i="9"/>
  <c r="D173" i="9"/>
  <c r="E173" i="9"/>
  <c r="D180" i="9"/>
  <c r="E180" i="9"/>
  <c r="D182" i="9"/>
  <c r="E182" i="9"/>
  <c r="D183" i="9"/>
  <c r="E183" i="9"/>
  <c r="D184" i="9"/>
  <c r="E184" i="9"/>
  <c r="D186" i="9"/>
  <c r="E186" i="9"/>
  <c r="D188" i="9"/>
  <c r="E188" i="9"/>
  <c r="D189" i="9"/>
  <c r="E189" i="9"/>
  <c r="D194" i="9"/>
  <c r="E194" i="9"/>
  <c r="D195" i="9"/>
  <c r="E195" i="9"/>
  <c r="D199" i="9"/>
  <c r="E199" i="9"/>
  <c r="D207" i="9"/>
  <c r="E207" i="9"/>
  <c r="D208" i="9"/>
  <c r="E208" i="9"/>
  <c r="D209" i="9"/>
  <c r="E209" i="9"/>
  <c r="D211" i="9"/>
  <c r="E211" i="9"/>
  <c r="D212" i="9"/>
  <c r="E212" i="9"/>
  <c r="D214" i="9"/>
  <c r="E214" i="9"/>
  <c r="D222" i="9"/>
  <c r="E222" i="9"/>
  <c r="D237" i="9"/>
  <c r="E237" i="9"/>
  <c r="D239" i="9"/>
  <c r="E239" i="9"/>
  <c r="D243" i="9"/>
  <c r="E243" i="9"/>
  <c r="D245" i="9"/>
  <c r="E245" i="9"/>
  <c r="D248" i="9"/>
  <c r="E248" i="9"/>
  <c r="D255" i="9"/>
  <c r="E255" i="9"/>
  <c r="D257" i="9"/>
  <c r="E257" i="9"/>
  <c r="D258" i="9"/>
  <c r="E258" i="9"/>
  <c r="D259" i="9"/>
  <c r="E259" i="9"/>
  <c r="D260" i="9"/>
  <c r="E260" i="9"/>
  <c r="D261" i="9"/>
  <c r="E261" i="9"/>
  <c r="D262" i="9"/>
  <c r="E262" i="9"/>
  <c r="D269" i="9"/>
  <c r="E269" i="9"/>
  <c r="D270" i="9"/>
  <c r="E270" i="9"/>
  <c r="D272" i="9"/>
  <c r="E272" i="9"/>
  <c r="D275" i="9"/>
  <c r="E275" i="9"/>
  <c r="D282" i="9"/>
  <c r="E282" i="9"/>
  <c r="D283" i="9"/>
  <c r="E283" i="9"/>
  <c r="D285" i="9"/>
  <c r="E285" i="9"/>
  <c r="D289" i="9"/>
  <c r="E289" i="9"/>
  <c r="D291" i="9"/>
  <c r="E291" i="9"/>
  <c r="D293" i="9"/>
  <c r="E293" i="9"/>
  <c r="D295" i="9"/>
  <c r="E295" i="9"/>
  <c r="D299" i="9"/>
  <c r="E299" i="9"/>
  <c r="D302" i="9"/>
  <c r="E302" i="9"/>
  <c r="D303" i="9"/>
  <c r="E303" i="9"/>
  <c r="D309" i="9"/>
  <c r="E309" i="9"/>
  <c r="D310" i="9"/>
  <c r="E310" i="9"/>
  <c r="D316" i="9"/>
  <c r="E316" i="9"/>
  <c r="D319" i="9"/>
  <c r="E319" i="9"/>
  <c r="D320" i="9"/>
  <c r="E320" i="9"/>
  <c r="D321" i="9"/>
  <c r="E321" i="9"/>
  <c r="D322" i="9"/>
  <c r="E322" i="9"/>
  <c r="D328" i="9"/>
  <c r="E328" i="9"/>
  <c r="D331" i="9"/>
  <c r="E331" i="9"/>
  <c r="D334" i="9"/>
  <c r="E334" i="9"/>
  <c r="D337" i="9"/>
  <c r="E337" i="9"/>
  <c r="D348" i="9"/>
  <c r="E348" i="9"/>
  <c r="D349" i="9"/>
  <c r="E349" i="9"/>
  <c r="D351" i="9"/>
  <c r="E351" i="9"/>
  <c r="D366" i="9"/>
  <c r="E366" i="9"/>
  <c r="D370" i="9"/>
  <c r="E370" i="9"/>
  <c r="D371" i="9"/>
  <c r="E371" i="9"/>
  <c r="D372" i="9"/>
  <c r="E372" i="9"/>
  <c r="D373" i="9"/>
  <c r="E373" i="9"/>
  <c r="D376" i="9"/>
  <c r="E376" i="9"/>
  <c r="D379" i="9"/>
  <c r="E379" i="9"/>
  <c r="D382" i="9"/>
  <c r="E382" i="9"/>
  <c r="D387" i="9"/>
  <c r="E387" i="9"/>
  <c r="D390" i="9"/>
  <c r="E390" i="9"/>
  <c r="D393" i="9"/>
  <c r="E393" i="9"/>
  <c r="D394" i="9"/>
  <c r="E394" i="9"/>
  <c r="D395" i="9"/>
  <c r="E395" i="9"/>
  <c r="D397" i="9"/>
  <c r="E397" i="9"/>
  <c r="D400" i="9"/>
  <c r="E400" i="9"/>
  <c r="D401" i="9"/>
  <c r="E401" i="9"/>
  <c r="D404" i="9"/>
  <c r="E404" i="9"/>
  <c r="D405" i="9"/>
  <c r="E405" i="9"/>
  <c r="D415" i="9"/>
  <c r="E415" i="9"/>
  <c r="D422" i="9"/>
  <c r="E422" i="9"/>
  <c r="D424" i="9"/>
  <c r="E424" i="9"/>
  <c r="D425" i="9"/>
  <c r="E425" i="9"/>
  <c r="D426" i="9"/>
  <c r="E426" i="9"/>
  <c r="D429" i="9"/>
  <c r="E429" i="9"/>
  <c r="D434" i="9"/>
  <c r="E434" i="9"/>
  <c r="D435" i="9"/>
  <c r="E435" i="9"/>
  <c r="D440" i="9"/>
  <c r="E440" i="9"/>
  <c r="D441" i="9"/>
  <c r="E441" i="9"/>
  <c r="D455" i="9"/>
  <c r="E455" i="9"/>
  <c r="D459" i="9"/>
  <c r="E459" i="9"/>
  <c r="D461" i="9"/>
  <c r="E461" i="9"/>
  <c r="D462" i="9"/>
  <c r="E462" i="9"/>
  <c r="D466" i="9"/>
  <c r="E466" i="9"/>
  <c r="D467" i="9"/>
  <c r="E467" i="9"/>
  <c r="D474" i="9"/>
  <c r="E474" i="9"/>
  <c r="D476" i="9"/>
  <c r="E476" i="9"/>
  <c r="D482" i="9"/>
  <c r="E482" i="9"/>
  <c r="D484" i="9"/>
  <c r="E484" i="9"/>
  <c r="D487" i="9"/>
  <c r="E487" i="9"/>
  <c r="D489" i="9"/>
  <c r="E489" i="9"/>
  <c r="D493" i="9"/>
  <c r="E493" i="9"/>
  <c r="D497" i="9"/>
  <c r="E497" i="9"/>
  <c r="D498" i="9"/>
  <c r="E498" i="9"/>
  <c r="D499" i="9"/>
  <c r="E499" i="9"/>
  <c r="D503" i="9"/>
  <c r="E503" i="9"/>
  <c r="D504" i="9"/>
  <c r="E504" i="9"/>
  <c r="D523" i="9"/>
  <c r="E523" i="9"/>
  <c r="D524" i="9"/>
  <c r="E524" i="9"/>
  <c r="D525" i="9"/>
  <c r="E525" i="9"/>
  <c r="D526" i="9"/>
  <c r="E526" i="9"/>
  <c r="D528" i="9"/>
  <c r="E528" i="9"/>
  <c r="D529" i="9"/>
  <c r="E529" i="9"/>
  <c r="D530" i="9"/>
  <c r="E530" i="9"/>
  <c r="D532" i="9"/>
  <c r="E532" i="9"/>
  <c r="D534" i="9"/>
  <c r="E534" i="9"/>
  <c r="D535" i="9"/>
  <c r="E535" i="9"/>
  <c r="D536" i="9"/>
  <c r="E536" i="9"/>
  <c r="D537" i="9"/>
  <c r="E537" i="9"/>
  <c r="D538" i="9"/>
  <c r="E538" i="9"/>
  <c r="D539" i="9"/>
  <c r="E539" i="9"/>
  <c r="D540" i="9"/>
  <c r="E540" i="9"/>
  <c r="D541" i="9"/>
  <c r="E541" i="9"/>
  <c r="D543" i="9"/>
  <c r="E543" i="9"/>
  <c r="D551" i="9"/>
  <c r="E551" i="9"/>
  <c r="D552" i="9"/>
  <c r="E552" i="9"/>
  <c r="D553" i="9"/>
  <c r="E553" i="9"/>
  <c r="D555" i="9"/>
  <c r="E555" i="9"/>
  <c r="D562" i="9"/>
  <c r="E562" i="9"/>
  <c r="D564" i="9"/>
  <c r="E564" i="9"/>
  <c r="D565" i="9"/>
  <c r="E565" i="9"/>
  <c r="D566" i="9"/>
  <c r="E566" i="9"/>
  <c r="D567" i="9"/>
  <c r="E567" i="9"/>
  <c r="D568" i="9"/>
  <c r="E568" i="9"/>
  <c r="D569" i="9"/>
  <c r="E569" i="9"/>
  <c r="D573" i="9"/>
  <c r="E573" i="9"/>
  <c r="D574" i="9"/>
  <c r="E574" i="9"/>
  <c r="D575" i="9"/>
  <c r="E575" i="9"/>
  <c r="D577" i="9"/>
  <c r="E577" i="9"/>
  <c r="D585" i="9"/>
  <c r="E585" i="9"/>
  <c r="D587" i="9"/>
  <c r="E587" i="9"/>
  <c r="D597" i="9"/>
  <c r="E597" i="9"/>
  <c r="D598" i="9"/>
  <c r="E598" i="9"/>
  <c r="D608" i="9"/>
  <c r="E608" i="9"/>
  <c r="D609" i="9"/>
  <c r="E609" i="9"/>
  <c r="D613" i="9"/>
  <c r="E613" i="9"/>
  <c r="D614" i="9"/>
  <c r="E614" i="9"/>
  <c r="D615" i="9"/>
  <c r="E615" i="9"/>
  <c r="D616" i="9"/>
  <c r="E616" i="9"/>
  <c r="D618" i="9"/>
  <c r="E618" i="9"/>
  <c r="D619" i="9"/>
  <c r="E619" i="9"/>
  <c r="D627" i="9"/>
  <c r="E627" i="9"/>
  <c r="E360" i="9"/>
  <c r="D360" i="9"/>
  <c r="E358" i="9"/>
  <c r="D358" i="9"/>
  <c r="E357" i="9"/>
  <c r="D357" i="9"/>
  <c r="D277" i="9"/>
  <c r="E277" i="9"/>
  <c r="D278" i="9"/>
  <c r="E278" i="9"/>
  <c r="D279" i="9"/>
  <c r="E279" i="9"/>
  <c r="D280" i="9"/>
  <c r="E280" i="9"/>
  <c r="D281" i="9"/>
  <c r="E281" i="9"/>
  <c r="D284" i="9"/>
  <c r="E284" i="9"/>
  <c r="D286" i="9"/>
  <c r="E286" i="9"/>
  <c r="D287" i="9"/>
  <c r="E287" i="9"/>
  <c r="D288" i="9"/>
  <c r="E288" i="9"/>
  <c r="D290" i="9"/>
  <c r="E290" i="9"/>
  <c r="D292" i="9"/>
  <c r="E292" i="9"/>
  <c r="D294" i="9"/>
  <c r="E294" i="9"/>
  <c r="D296" i="9"/>
  <c r="E296" i="9"/>
  <c r="D297" i="9"/>
  <c r="E297" i="9"/>
  <c r="D298" i="9"/>
  <c r="E298" i="9"/>
  <c r="D300" i="9"/>
  <c r="E300" i="9"/>
  <c r="D301" i="9"/>
  <c r="E301" i="9"/>
  <c r="D304" i="9"/>
  <c r="E304" i="9"/>
  <c r="D305" i="9"/>
  <c r="E305" i="9"/>
  <c r="D306" i="9"/>
  <c r="E306" i="9"/>
  <c r="D307" i="9"/>
  <c r="E307" i="9"/>
  <c r="D308" i="9"/>
  <c r="E308" i="9"/>
  <c r="D311" i="9"/>
  <c r="E311" i="9"/>
  <c r="D312" i="9"/>
  <c r="E312" i="9"/>
  <c r="D313" i="9"/>
  <c r="E313" i="9"/>
  <c r="D314" i="9"/>
  <c r="E314" i="9"/>
  <c r="D315" i="9"/>
  <c r="E315" i="9"/>
  <c r="D317" i="9"/>
  <c r="E317" i="9"/>
  <c r="D318" i="9"/>
  <c r="E318" i="9"/>
  <c r="D323" i="9"/>
  <c r="E323" i="9"/>
  <c r="D324" i="9"/>
  <c r="E324" i="9"/>
  <c r="D325" i="9"/>
  <c r="E325" i="9"/>
  <c r="D326" i="9"/>
  <c r="E326" i="9"/>
  <c r="D327" i="9"/>
  <c r="E327" i="9"/>
  <c r="D329" i="9"/>
  <c r="E329" i="9"/>
  <c r="D330" i="9"/>
  <c r="E330" i="9"/>
  <c r="D332" i="9"/>
  <c r="E332" i="9"/>
  <c r="D333" i="9"/>
  <c r="E333" i="9"/>
  <c r="D335" i="9"/>
  <c r="E335" i="9"/>
  <c r="D336" i="9"/>
  <c r="E336" i="9"/>
  <c r="D338" i="9"/>
  <c r="E338" i="9"/>
  <c r="D339" i="9"/>
  <c r="E339" i="9"/>
  <c r="D340" i="9"/>
  <c r="E340" i="9"/>
  <c r="D341" i="9"/>
  <c r="E341" i="9"/>
  <c r="D342" i="9"/>
  <c r="E342" i="9"/>
  <c r="D343" i="9"/>
  <c r="E343" i="9"/>
  <c r="D344" i="9"/>
  <c r="E344" i="9"/>
  <c r="D345" i="9"/>
  <c r="E345" i="9"/>
  <c r="D346" i="9"/>
  <c r="E346" i="9"/>
  <c r="D347" i="9"/>
  <c r="E347" i="9"/>
  <c r="D350" i="9"/>
  <c r="E350" i="9"/>
  <c r="D352" i="9"/>
  <c r="E352" i="9"/>
  <c r="D353" i="9"/>
  <c r="E353" i="9"/>
  <c r="D354" i="9"/>
  <c r="E354" i="9"/>
  <c r="D355" i="9"/>
  <c r="E355" i="9"/>
  <c r="E276" i="9"/>
  <c r="D276" i="9"/>
  <c r="D198" i="9"/>
  <c r="E198" i="9"/>
  <c r="D200" i="9"/>
  <c r="E200" i="9"/>
  <c r="D201" i="9"/>
  <c r="E201" i="9"/>
  <c r="D202" i="9"/>
  <c r="E202" i="9"/>
  <c r="D203" i="9"/>
  <c r="E203" i="9"/>
  <c r="D204" i="9"/>
  <c r="E204" i="9"/>
  <c r="D205" i="9"/>
  <c r="E205" i="9"/>
  <c r="D206" i="9"/>
  <c r="E206" i="9"/>
  <c r="D210" i="9"/>
  <c r="E210" i="9"/>
  <c r="D213" i="9"/>
  <c r="E213" i="9"/>
  <c r="D215" i="9"/>
  <c r="E215" i="9"/>
  <c r="D216" i="9"/>
  <c r="E216" i="9"/>
  <c r="D217" i="9"/>
  <c r="E217" i="9"/>
  <c r="D218" i="9"/>
  <c r="E218" i="9"/>
  <c r="D219" i="9"/>
  <c r="E219" i="9"/>
  <c r="D220" i="9"/>
  <c r="E220" i="9"/>
  <c r="D221" i="9"/>
  <c r="E221" i="9"/>
  <c r="D223" i="9"/>
  <c r="E223" i="9"/>
  <c r="D224" i="9"/>
  <c r="E224" i="9"/>
  <c r="D225" i="9"/>
  <c r="E225" i="9"/>
  <c r="D226" i="9"/>
  <c r="E226" i="9"/>
  <c r="D227" i="9"/>
  <c r="E227" i="9"/>
  <c r="D228" i="9"/>
  <c r="E228" i="9"/>
  <c r="D229" i="9"/>
  <c r="E229" i="9"/>
  <c r="D230" i="9"/>
  <c r="E230" i="9"/>
  <c r="D231" i="9"/>
  <c r="E231" i="9"/>
  <c r="D232" i="9"/>
  <c r="E232" i="9"/>
  <c r="D233" i="9"/>
  <c r="E233" i="9"/>
  <c r="D234" i="9"/>
  <c r="E234" i="9"/>
  <c r="D235" i="9"/>
  <c r="E235" i="9"/>
  <c r="D236" i="9"/>
  <c r="E236" i="9"/>
  <c r="D238" i="9"/>
  <c r="E238" i="9"/>
  <c r="D240" i="9"/>
  <c r="E240" i="9"/>
  <c r="D241" i="9"/>
  <c r="E241" i="9"/>
  <c r="D242" i="9"/>
  <c r="E242" i="9"/>
  <c r="D244" i="9"/>
  <c r="E244" i="9"/>
  <c r="D246" i="9"/>
  <c r="E246" i="9"/>
  <c r="D247" i="9"/>
  <c r="E247" i="9"/>
  <c r="D249" i="9"/>
  <c r="E249" i="9"/>
  <c r="D250" i="9"/>
  <c r="E250" i="9"/>
  <c r="D251" i="9"/>
  <c r="E251" i="9"/>
  <c r="D252" i="9"/>
  <c r="E252" i="9"/>
  <c r="D253" i="9"/>
  <c r="E253" i="9"/>
  <c r="D254" i="9"/>
  <c r="E254" i="9"/>
  <c r="D256" i="9"/>
  <c r="E256" i="9"/>
  <c r="D263" i="9"/>
  <c r="E263" i="9"/>
  <c r="D264" i="9"/>
  <c r="E264" i="9"/>
  <c r="D265" i="9"/>
  <c r="E265" i="9"/>
  <c r="D266" i="9"/>
  <c r="E266" i="9"/>
  <c r="D267" i="9"/>
  <c r="E267" i="9"/>
  <c r="D268" i="9"/>
  <c r="E268" i="9"/>
  <c r="D271" i="9"/>
  <c r="E271" i="9"/>
  <c r="D273" i="9"/>
  <c r="E273" i="9"/>
  <c r="E197" i="9"/>
  <c r="D197" i="9"/>
  <c r="D15" i="9"/>
  <c r="E15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1" i="9"/>
  <c r="E41" i="9"/>
  <c r="D42" i="9"/>
  <c r="E42" i="9"/>
  <c r="D45" i="9"/>
  <c r="E45" i="9"/>
  <c r="D53" i="9"/>
  <c r="E53" i="9"/>
  <c r="D56" i="9"/>
  <c r="E56" i="9"/>
  <c r="D57" i="9"/>
  <c r="E57" i="9"/>
  <c r="D58" i="9"/>
  <c r="E58" i="9"/>
  <c r="D59" i="9"/>
  <c r="E59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86" i="9"/>
  <c r="E86" i="9"/>
  <c r="D88" i="9"/>
  <c r="E88" i="9"/>
  <c r="D90" i="9"/>
  <c r="E90" i="9"/>
  <c r="D91" i="9"/>
  <c r="E91" i="9"/>
  <c r="D92" i="9"/>
  <c r="E92" i="9"/>
  <c r="D93" i="9"/>
  <c r="E93" i="9"/>
  <c r="D95" i="9"/>
  <c r="E95" i="9"/>
  <c r="D96" i="9"/>
  <c r="E96" i="9"/>
  <c r="D97" i="9"/>
  <c r="E97" i="9"/>
  <c r="D98" i="9"/>
  <c r="E98" i="9"/>
  <c r="D100" i="9"/>
  <c r="E100" i="9"/>
  <c r="D101" i="9"/>
  <c r="E101" i="9"/>
  <c r="D102" i="9"/>
  <c r="E102" i="9"/>
  <c r="D103" i="9"/>
  <c r="E103" i="9"/>
  <c r="D104" i="9"/>
  <c r="E104" i="9"/>
  <c r="D106" i="9"/>
  <c r="E106" i="9"/>
  <c r="D107" i="9"/>
  <c r="E107" i="9"/>
  <c r="D108" i="9"/>
  <c r="E108" i="9"/>
  <c r="D109" i="9"/>
  <c r="E109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1" i="9"/>
  <c r="E121" i="9"/>
  <c r="D123" i="9"/>
  <c r="E123" i="9"/>
  <c r="D126" i="9"/>
  <c r="E126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9" i="9"/>
  <c r="E139" i="9"/>
  <c r="D140" i="9"/>
  <c r="E140" i="9"/>
  <c r="D141" i="9"/>
  <c r="E141" i="9"/>
  <c r="D142" i="9"/>
  <c r="E142" i="9"/>
  <c r="D146" i="9"/>
  <c r="E146" i="9"/>
  <c r="D147" i="9"/>
  <c r="E147" i="9"/>
  <c r="D149" i="9"/>
  <c r="E149" i="9"/>
  <c r="D150" i="9"/>
  <c r="E150" i="9"/>
  <c r="D151" i="9"/>
  <c r="E151" i="9"/>
  <c r="D152" i="9"/>
  <c r="E152" i="9"/>
  <c r="D153" i="9"/>
  <c r="E153" i="9"/>
  <c r="D154" i="9"/>
  <c r="E154" i="9"/>
  <c r="D155" i="9"/>
  <c r="E155" i="9"/>
  <c r="D156" i="9"/>
  <c r="E156" i="9"/>
  <c r="D157" i="9"/>
  <c r="E157" i="9"/>
  <c r="D161" i="9"/>
  <c r="E161" i="9"/>
  <c r="D162" i="9"/>
  <c r="E162" i="9"/>
  <c r="D164" i="9"/>
  <c r="E164" i="9"/>
  <c r="D165" i="9"/>
  <c r="E165" i="9"/>
  <c r="D168" i="9"/>
  <c r="E168" i="9"/>
  <c r="D170" i="9"/>
  <c r="E170" i="9"/>
  <c r="D171" i="9"/>
  <c r="E171" i="9"/>
  <c r="D172" i="9"/>
  <c r="E172" i="9"/>
  <c r="D174" i="9"/>
  <c r="E174" i="9"/>
  <c r="D175" i="9"/>
  <c r="E175" i="9"/>
  <c r="D176" i="9"/>
  <c r="E176" i="9"/>
  <c r="D177" i="9"/>
  <c r="E177" i="9"/>
  <c r="D178" i="9"/>
  <c r="E178" i="9"/>
  <c r="D179" i="9"/>
  <c r="E179" i="9"/>
  <c r="D181" i="9"/>
  <c r="E181" i="9"/>
  <c r="D185" i="9"/>
  <c r="E185" i="9"/>
  <c r="D187" i="9"/>
  <c r="E187" i="9"/>
  <c r="D190" i="9"/>
  <c r="E190" i="9"/>
  <c r="D191" i="9"/>
  <c r="E191" i="9"/>
  <c r="D192" i="9"/>
  <c r="E192" i="9"/>
  <c r="D193" i="9"/>
  <c r="E193" i="9"/>
  <c r="D5" i="9"/>
  <c r="E5" i="9"/>
  <c r="D7" i="9"/>
  <c r="E7" i="9"/>
  <c r="D8" i="9"/>
  <c r="E8" i="9"/>
  <c r="D9" i="9"/>
  <c r="E9" i="9"/>
  <c r="D13" i="9"/>
  <c r="E13" i="9"/>
  <c r="D14" i="9"/>
  <c r="E14" i="9"/>
  <c r="E4" i="9"/>
  <c r="D4" i="9"/>
</calcChain>
</file>

<file path=xl/sharedStrings.xml><?xml version="1.0" encoding="utf-8"?>
<sst xmlns="http://schemas.openxmlformats.org/spreadsheetml/2006/main" count="15481" uniqueCount="6934">
  <si>
    <t>pH</t>
  </si>
  <si>
    <t>Ionic Strength (M)</t>
  </si>
  <si>
    <t>min</t>
  </si>
  <si>
    <t>max</t>
  </si>
  <si>
    <t>Abbreviation</t>
  </si>
  <si>
    <t>Lower Bound</t>
  </si>
  <si>
    <t>Upper Bound</t>
  </si>
  <si>
    <t>Stoichiometry</t>
  </si>
  <si>
    <t>2DGLCNRx</t>
  </si>
  <si>
    <t xml:space="preserve">2dhglcn[c] + nadh[c]  &lt;=&gt; glcn[c] + nad[c] </t>
  </si>
  <si>
    <t>2DGLCNRy</t>
  </si>
  <si>
    <t xml:space="preserve">2dhglcn[c] + nadph[c]  &lt;=&gt; glcn[c] + nadp[c] </t>
  </si>
  <si>
    <t>2DGULRx</t>
  </si>
  <si>
    <t xml:space="preserve">2dhguln[c] + nadh[c]  &lt;=&gt; idon-L[c] + nad[c] </t>
  </si>
  <si>
    <t>2DGULRy</t>
  </si>
  <si>
    <t xml:space="preserve">2dhguln[c] + nadph[c]  &lt;=&gt; idon-L[c] + nadp[c] </t>
  </si>
  <si>
    <t>3HCINNMH</t>
  </si>
  <si>
    <t xml:space="preserve">3hcinnm[c] + nadh[c] + o2[c]  &lt;=&gt; dhcinnm[c] + h2o[c] + nad[c] </t>
  </si>
  <si>
    <t>3HPPPNH</t>
  </si>
  <si>
    <t xml:space="preserve">3hpppn[c] + nadh[c] + o2[c]  &lt;=&gt; dhpppn[c] + h2o[c] + nad[c] </t>
  </si>
  <si>
    <t>4HTHRS</t>
  </si>
  <si>
    <t xml:space="preserve">h2o[c] + phthr[c]  &lt;=&gt; 4hthr[c] + pi[c] </t>
  </si>
  <si>
    <t>5DGLCNR</t>
  </si>
  <si>
    <t xml:space="preserve">5dglcn[c] + nadph[c]  &lt;=&gt; glcn[c] + nadp[c] </t>
  </si>
  <si>
    <t>A5PISO</t>
  </si>
  <si>
    <t xml:space="preserve">ru5p-D[c]  &lt;=&gt; ara5p[c] </t>
  </si>
  <si>
    <t>AACPS1</t>
  </si>
  <si>
    <t xml:space="preserve">ACP[c] + atp[c] + ttdca[c]  &lt;=&gt; amp[c] + myrsACP[c] + ppi[c] </t>
  </si>
  <si>
    <t>AACPS2</t>
  </si>
  <si>
    <t xml:space="preserve">ACP[c] + atp[c] + ttdcea[c]  &lt;=&gt; amp[c] + ppi[c] + tdeACP[c] </t>
  </si>
  <si>
    <t>AACPS3</t>
  </si>
  <si>
    <t xml:space="preserve">ACP[c] + atp[c] + hdca[c]  &lt;=&gt; amp[c] + palmACP[c] + ppi[c] </t>
  </si>
  <si>
    <t>AACPS4</t>
  </si>
  <si>
    <t xml:space="preserve">ACP[c] + atp[c] + hdcea[c]  &lt;=&gt; amp[c] + hdeACP[c] + ppi[c] </t>
  </si>
  <si>
    <t>AACPS5</t>
  </si>
  <si>
    <t xml:space="preserve">ACP[c] + atp[c] + ocdcea[c]  &lt;=&gt; amp[c] + octeACP[c] + ppi[c] </t>
  </si>
  <si>
    <t>AADDGT</t>
  </si>
  <si>
    <t xml:space="preserve">dtdp4aaddg[c] + unagamu[c]  &lt;=&gt; dtdp[c] + unagamuf[c] </t>
  </si>
  <si>
    <t>AB6PGH</t>
  </si>
  <si>
    <t xml:space="preserve">arbt6p[c] + h2o[c]  &lt;=&gt; g6p[c] + hqn[c] </t>
  </si>
  <si>
    <t>ABTA</t>
  </si>
  <si>
    <t xml:space="preserve">4abut[c] + akg[c]  &lt;=&gt; glu-L[c] + sucsal[c] </t>
  </si>
  <si>
    <t>ABUTD</t>
  </si>
  <si>
    <t xml:space="preserve">4abutn[c] + h2o[c] + nad[c]  &lt;=&gt; 4abut[c] + nadh[c] </t>
  </si>
  <si>
    <t>ACACCT</t>
  </si>
  <si>
    <t xml:space="preserve">acac[c] + accoa[c]  &lt;=&gt; aacoa[c] + ac[c] </t>
  </si>
  <si>
    <t>ACACT1r</t>
  </si>
  <si>
    <t xml:space="preserve">(2) accoa[c]  &lt;=&gt; aacoa[c] + coa[c] </t>
  </si>
  <si>
    <t>ACALDi</t>
  </si>
  <si>
    <t xml:space="preserve">acald[c] + coa[c] + nad[c]  &lt;=&gt; accoa[c] + nadh[c] </t>
  </si>
  <si>
    <t>ACBIPGT</t>
  </si>
  <si>
    <t xml:space="preserve">adocbip[c] + gtp[c]  &lt;=&gt; agdpcbi[c] + ppi[c] </t>
  </si>
  <si>
    <t>ACCOACr</t>
  </si>
  <si>
    <t>ACCOAL</t>
  </si>
  <si>
    <t xml:space="preserve">atp[c] + coa[c] + ppa[c]  &lt;=&gt; adp[c] + pi[c] + ppcoa[c] </t>
  </si>
  <si>
    <t>ACGAMT</t>
  </si>
  <si>
    <t xml:space="preserve">uacgam[c] + udcpp[c]  &lt;=&gt; ump[c] + unaga[c] </t>
  </si>
  <si>
    <t>ACGK</t>
  </si>
  <si>
    <t xml:space="preserve">acglu[c] + atp[c]  &lt;=&gt; acg5p[c] + adp[c] </t>
  </si>
  <si>
    <t>ACGS</t>
  </si>
  <si>
    <t xml:space="preserve">accoa[c] + glu-L[c]  &lt;=&gt; acglu[c] + coa[c] </t>
  </si>
  <si>
    <t>ACHBS</t>
  </si>
  <si>
    <t>ACKr</t>
  </si>
  <si>
    <t xml:space="preserve">ac[c] + atp[c]  &lt;=&gt; actp[c] + adp[c] </t>
  </si>
  <si>
    <t>ACLS</t>
  </si>
  <si>
    <t>ACMAMUT</t>
  </si>
  <si>
    <t xml:space="preserve">uacmamu[c] + unaga[c]  &lt;=&gt; udp[c] + unagamu[c] </t>
  </si>
  <si>
    <t>ACNML</t>
  </si>
  <si>
    <t xml:space="preserve">acnam[c]  &lt;=&gt; acmana[c] + pyr[c] </t>
  </si>
  <si>
    <t>ACOATA</t>
  </si>
  <si>
    <t xml:space="preserve">accoa[c] + ACP[c]  &lt;=&gt; acACP[c] + coa[c] </t>
  </si>
  <si>
    <t>ACODA</t>
  </si>
  <si>
    <t xml:space="preserve">acorn[c] + h2o[c]  &lt;=&gt; ac[c] + orn[c] </t>
  </si>
  <si>
    <t>ACONMT</t>
  </si>
  <si>
    <t xml:space="preserve">acon-T[c] + amet[c]  &lt;=&gt; aconm[c] + ahcys[c] </t>
  </si>
  <si>
    <t>ACONT</t>
  </si>
  <si>
    <t xml:space="preserve">cit[c]  &lt;=&gt; icit[c] </t>
  </si>
  <si>
    <t>ACOTA</t>
  </si>
  <si>
    <t xml:space="preserve">acorn[c] + akg[c]  &lt;=&gt; acg5sa[c] + glu-L[c] </t>
  </si>
  <si>
    <t>ACPS1</t>
  </si>
  <si>
    <t xml:space="preserve">apoACP[c] + coa[c]  &lt;=&gt; ACP[c] + pap[c] </t>
  </si>
  <si>
    <t>ACS</t>
  </si>
  <si>
    <t xml:space="preserve">ac[c] + atp[c] + coa[c]  &lt;=&gt; accoa[c] + amp[c] + ppi[c] </t>
  </si>
  <si>
    <t>ADA</t>
  </si>
  <si>
    <t xml:space="preserve">adn[c] + h2o[c]  &lt;=&gt; ins[c] + nh3[c] </t>
  </si>
  <si>
    <t>ADCL</t>
  </si>
  <si>
    <t xml:space="preserve">4adcho[c]  &lt;=&gt; 4abz[c] + pyr[c] </t>
  </si>
  <si>
    <t>ADCS</t>
  </si>
  <si>
    <t xml:space="preserve">chor[c] + gln-L[c]  &lt;=&gt; 4adcho[c] + glu-L[c] </t>
  </si>
  <si>
    <t>ADD</t>
  </si>
  <si>
    <t xml:space="preserve">ade[c] + h2o[c]  &lt;=&gt; hxan[c] + nh3[c] </t>
  </si>
  <si>
    <t>ADHEr</t>
  </si>
  <si>
    <t xml:space="preserve">accoa[c] + (2) nadh[c]  &lt;=&gt; coa[c] + etoh[c] + (2) nad[c] </t>
  </si>
  <si>
    <t>ADK1</t>
  </si>
  <si>
    <t xml:space="preserve">amp[c] + atp[c]  &lt;=&gt; (2) adp[c] </t>
  </si>
  <si>
    <t>ADK3</t>
  </si>
  <si>
    <t xml:space="preserve">amp[c] + gtp[c]  &lt;=&gt; adp[c] + gdp[c] </t>
  </si>
  <si>
    <t>ADK4</t>
  </si>
  <si>
    <t xml:space="preserve">amp[c] + itp[c]  &lt;=&gt; adp[c] + idp[c] </t>
  </si>
  <si>
    <t>ADMDCr</t>
  </si>
  <si>
    <t>ADNCYC</t>
  </si>
  <si>
    <t xml:space="preserve">atp[c]  &lt;=&gt; camp[c] + ppi[c] </t>
  </si>
  <si>
    <t>ADNK1</t>
  </si>
  <si>
    <t xml:space="preserve">adn[c] + atp[c]  &lt;=&gt; adp[c] + amp[c] </t>
  </si>
  <si>
    <t>ADOCBIK</t>
  </si>
  <si>
    <t xml:space="preserve">adocbi[c] + atp[c]  &lt;=&gt; adocbip[c] + adp[c] </t>
  </si>
  <si>
    <t>ADOCBLS</t>
  </si>
  <si>
    <t xml:space="preserve">agdpcbi[c] + rdmbzi[c]  &lt;=&gt; adocbl[c] + gmp[c] </t>
  </si>
  <si>
    <t>ADPT</t>
  </si>
  <si>
    <t xml:space="preserve">ade[c] + prpp[c]  &lt;=&gt; amp[c] + ppi[c] </t>
  </si>
  <si>
    <t>ADSK</t>
  </si>
  <si>
    <t xml:space="preserve">aps[c] + atp[c]  &lt;=&gt; adp[c] + paps[c] </t>
  </si>
  <si>
    <t>ADSL1r</t>
  </si>
  <si>
    <t xml:space="preserve">dcamp[c]  &lt;=&gt; amp[c] + fum[c] </t>
  </si>
  <si>
    <t>ADSL2r</t>
  </si>
  <si>
    <t xml:space="preserve">25aics[c]  &lt;=&gt; aicar[c] + fum[c] </t>
  </si>
  <si>
    <t>ADSS</t>
  </si>
  <si>
    <t xml:space="preserve">asp-L[c] + gtp[c] + imp[c]  &lt;=&gt; dcamp[c] + gdp[c] + pi[c] </t>
  </si>
  <si>
    <t>AGDC</t>
  </si>
  <si>
    <t xml:space="preserve">acgam6p[c] + h2o[c]  &lt;=&gt; ac[c] + gam6p[c] </t>
  </si>
  <si>
    <t>AGMHE</t>
  </si>
  <si>
    <t xml:space="preserve">adphep-DD[c]  &lt;=&gt; adphep-LD[c] </t>
  </si>
  <si>
    <t>AGMT</t>
  </si>
  <si>
    <t xml:space="preserve">agm[c] + h2o[c]  &lt;=&gt; ptrc[c] + urea[c] </t>
  </si>
  <si>
    <t>AGPR</t>
  </si>
  <si>
    <t xml:space="preserve">acg5sa[c] + nadp[c] + pi[c]  &lt;=&gt; acg5p[c] + nadph[c] </t>
  </si>
  <si>
    <t>AHC</t>
  </si>
  <si>
    <t xml:space="preserve">ahcys[c] + h2o[c]  &lt;=&gt; adn[c] + hcys-L[c] </t>
  </si>
  <si>
    <t>AHCYSNS</t>
  </si>
  <si>
    <t xml:space="preserve">ahcys[c] + h2o[c]  &lt;=&gt; ade[c] + rhcys[c] </t>
  </si>
  <si>
    <t>AICART</t>
  </si>
  <si>
    <t xml:space="preserve">10fthf[c] + aicar[c]  &lt;=&gt; fprica[c] + thf[c] </t>
  </si>
  <si>
    <t>AIRC2</t>
  </si>
  <si>
    <t>AIRC3</t>
  </si>
  <si>
    <t xml:space="preserve">5aizc[c]  &lt;=&gt; 5caiz[c] </t>
  </si>
  <si>
    <t>ALAALAr</t>
  </si>
  <si>
    <t xml:space="preserve">(2) ala-D[c] + atp[c]  &lt;=&gt; adp[c] + alaala[c] + pi[c] </t>
  </si>
  <si>
    <t>ALAR</t>
  </si>
  <si>
    <t xml:space="preserve">ala-L[c]  &lt;=&gt; ala-D[c] </t>
  </si>
  <si>
    <t>ALATAD2</t>
  </si>
  <si>
    <t xml:space="preserve">ala-D[c] + pydx5p[c]  &lt;=&gt; pyam5p[c] + pyr[c] </t>
  </si>
  <si>
    <t>ALATAL</t>
  </si>
  <si>
    <t xml:space="preserve">akg[c] + ala-L[c]  &lt;=&gt; glu-L[c] + pyr[c] </t>
  </si>
  <si>
    <t>ALATAL2</t>
  </si>
  <si>
    <t xml:space="preserve">ala-L[c] + pydx5p[c]  &lt;=&gt; pyam5p[c] + pyr[c] </t>
  </si>
  <si>
    <t>ALCD19</t>
  </si>
  <si>
    <t xml:space="preserve">glyald[c] + nadh[c]  &lt;=&gt; glyc[c] + nad[c] </t>
  </si>
  <si>
    <t>ALDD19x</t>
  </si>
  <si>
    <t xml:space="preserve">h2o[c] + nad[c] + pacald[c]  &lt;=&gt; nadh[c] + pac[c] </t>
  </si>
  <si>
    <t>ALDD2x</t>
  </si>
  <si>
    <t xml:space="preserve">acald[c] + h2o[c] + nad[c]  &lt;=&gt; ac[c] + nadh[c] </t>
  </si>
  <si>
    <t>ALLTAH</t>
  </si>
  <si>
    <t xml:space="preserve">alltt[c] + h2o[c]  &lt;=&gt; urdglyc[c] + urea[c] </t>
  </si>
  <si>
    <t>ALLTN</t>
  </si>
  <si>
    <t xml:space="preserve">alltn[c] + h2o[c]  &lt;=&gt; alltt[c] </t>
  </si>
  <si>
    <t>ALTRH</t>
  </si>
  <si>
    <t xml:space="preserve">altrn[c]  &lt;=&gt; 2ddglcn[c] + h2o[c] </t>
  </si>
  <si>
    <t>AMALT1</t>
  </si>
  <si>
    <t xml:space="preserve">malt[c] + malttr[c]  &lt;=&gt; glc-D[c] + maltttr[c] </t>
  </si>
  <si>
    <t>AMALT2</t>
  </si>
  <si>
    <t xml:space="preserve">malt[c] + maltttr[c]  &lt;=&gt; glc-D[c] + maltpt[c] </t>
  </si>
  <si>
    <t>AMALT3</t>
  </si>
  <si>
    <t xml:space="preserve">malt[c] + maltpt[c]  &lt;=&gt; glc-D[c] + malthx[c] </t>
  </si>
  <si>
    <t>AMALT4</t>
  </si>
  <si>
    <t xml:space="preserve">malt[c] + malthx[c]  &lt;=&gt; glc-D[c] + malthp[c] </t>
  </si>
  <si>
    <t>AMANAPE</t>
  </si>
  <si>
    <t xml:space="preserve">acmanap[c]  &lt;=&gt; acgam6p[c] </t>
  </si>
  <si>
    <t>AMANK</t>
  </si>
  <si>
    <t xml:space="preserve">acmana[c] + atp[c]  &lt;=&gt; acmanap[c] + adp[c] </t>
  </si>
  <si>
    <t>AMAOTr</t>
  </si>
  <si>
    <t xml:space="preserve">8aonn[c] + amet[c]  &lt;=&gt; amob[c] + dann[c] </t>
  </si>
  <si>
    <t>AMMQT82</t>
  </si>
  <si>
    <t xml:space="preserve">2dmmq8[c] + amet[c]  &lt;=&gt; ahcys[c] + mqn8[c] </t>
  </si>
  <si>
    <t>AMPMS</t>
  </si>
  <si>
    <t xml:space="preserve">air[c] + h2o[c]  &lt;=&gt; 4ampm[c] + (2) for[c] </t>
  </si>
  <si>
    <t>AMPN</t>
  </si>
  <si>
    <t xml:space="preserve">amp[c] + h2o[c]  &lt;=&gt; ade[c] + r5p[c] </t>
  </si>
  <si>
    <t>ANPRT</t>
  </si>
  <si>
    <t xml:space="preserve">anth[c] + prpp[c]  &lt;=&gt; ppi[c] + pran[c] </t>
  </si>
  <si>
    <t>ANS</t>
  </si>
  <si>
    <t xml:space="preserve">chor[c] + gln-L[c]  &lt;=&gt; anth[c] + glu-L[c] + pyr[c] </t>
  </si>
  <si>
    <t>AOXSr</t>
  </si>
  <si>
    <t>AP4AH</t>
  </si>
  <si>
    <t xml:space="preserve">ap4a[c] + h2o[c]  &lt;=&gt; (2) adp[c] </t>
  </si>
  <si>
    <t>AP5AH</t>
  </si>
  <si>
    <t xml:space="preserve">ap5a[c] + h2o[c]  &lt;=&gt; adp[c] + atp[c] </t>
  </si>
  <si>
    <t>APRAUR</t>
  </si>
  <si>
    <t xml:space="preserve">5apru[c] + nadph[c]  &lt;=&gt; 5aprbu[c] + nadp[c] </t>
  </si>
  <si>
    <t>ARAI</t>
  </si>
  <si>
    <t xml:space="preserve">arab-L[c]  &lt;=&gt; rbl-L[c] </t>
  </si>
  <si>
    <t>ARGDC</t>
  </si>
  <si>
    <t>ARGSL</t>
  </si>
  <si>
    <t xml:space="preserve">argsuc[c]  &lt;=&gt; arg-L[c] + fum[c] </t>
  </si>
  <si>
    <t>ARGSS</t>
  </si>
  <si>
    <t xml:space="preserve">asp-L[c] + atp[c] + citr-L[c]  &lt;=&gt; amp[c] + argsuc[c] + ppi[c] </t>
  </si>
  <si>
    <t>ASAD</t>
  </si>
  <si>
    <t xml:space="preserve">aspsa[c] + nadp[c] + pi[c]  &lt;=&gt; 4pasp[c] + nadph[c] </t>
  </si>
  <si>
    <t>ASNN</t>
  </si>
  <si>
    <t xml:space="preserve">asn-L[c] + h2o[c]  &lt;=&gt; asp-L[c] + nh3[c] </t>
  </si>
  <si>
    <t>ASNS1</t>
  </si>
  <si>
    <t xml:space="preserve">asp-L[c] + atp[c] + gln-L[c] + h2o[c]  &lt;=&gt; amp[c] + asn-L[c] + glu-L[c] + ppi[c] </t>
  </si>
  <si>
    <t>ASNS2</t>
  </si>
  <si>
    <t xml:space="preserve">asp-L[c] + atp[c] + nh3[c]  &lt;=&gt; amp[c] + asn-L[c] + ppi[c] </t>
  </si>
  <si>
    <t>ASP1DC</t>
  </si>
  <si>
    <t>ASPCT</t>
  </si>
  <si>
    <t xml:space="preserve">asp-L[c] + cbp[c]  &lt;=&gt; cbasp[c] + pi[c] </t>
  </si>
  <si>
    <t>ASPK</t>
  </si>
  <si>
    <t xml:space="preserve">asp-L[c] + atp[c]  &lt;=&gt; 4pasp[c] + adp[c] </t>
  </si>
  <si>
    <t>ASPO3</t>
  </si>
  <si>
    <t xml:space="preserve">asp-L[c] + q8[c]  &lt;=&gt; iasp[c] + q8h2[c] </t>
  </si>
  <si>
    <t>ASPO4</t>
  </si>
  <si>
    <t xml:space="preserve">asp-L[c] + mqn8[c]  &lt;=&gt; iasp[c] + mql8[c] </t>
  </si>
  <si>
    <t>ASPO5</t>
  </si>
  <si>
    <t xml:space="preserve">asp-L[c] + fum[c]  &lt;=&gt; iasp[c] + succ[c] </t>
  </si>
  <si>
    <t>ASPO6</t>
  </si>
  <si>
    <t xml:space="preserve">asp-L[c] + o2[c]  &lt;=&gt; h2o2[c] + iasp[c] </t>
  </si>
  <si>
    <t>ASPT</t>
  </si>
  <si>
    <t xml:space="preserve">asp-L[c]  &lt;=&gt; fum[c] + nh3[c] </t>
  </si>
  <si>
    <t>ASPTA</t>
  </si>
  <si>
    <t xml:space="preserve">akg[c] + asp-L[c]  &lt;=&gt; glu-L[c] + oaa[c] </t>
  </si>
  <si>
    <t>AST</t>
  </si>
  <si>
    <t xml:space="preserve">arg-L[c] + succoa[c]  &lt;=&gt; coa[c] + sucarg[c] </t>
  </si>
  <si>
    <t xml:space="preserve">atp[c] + h2o[c]  &lt;=&gt; adp[c] + pi[c] </t>
  </si>
  <si>
    <t>ATPPRT</t>
  </si>
  <si>
    <t xml:space="preserve">atp[c] + prpp[c]  &lt;=&gt; ppi[c] + prbatp[c] </t>
  </si>
  <si>
    <t>BETALDHx</t>
  </si>
  <si>
    <t xml:space="preserve">betald[c] + h2o[c] + nad[c]  &lt;=&gt; glyb[c] + nadh[c] </t>
  </si>
  <si>
    <t>BETALDHy</t>
  </si>
  <si>
    <t xml:space="preserve">betald[c] + h2o[c] + nadp[c]  &lt;=&gt; glyb[c] + nadph[c] </t>
  </si>
  <si>
    <t>BPNT</t>
  </si>
  <si>
    <t xml:space="preserve">h2o[c] + pap[c]  &lt;=&gt; amp[c] + pi[c] </t>
  </si>
  <si>
    <t>BSORx</t>
  </si>
  <si>
    <t xml:space="preserve">btnso[c] + nadh[c]  &lt;=&gt; btn[c] + h2o[c] + nad[c] </t>
  </si>
  <si>
    <t>BSORy</t>
  </si>
  <si>
    <t xml:space="preserve">btnso[c] + nadph[c]  &lt;=&gt; btn[c] + h2o[c] + nadp[c] </t>
  </si>
  <si>
    <t>BTS2</t>
  </si>
  <si>
    <t xml:space="preserve">cys-L[c] + dtbt[c]  &lt;=&gt; ala-L[c] + btn[c] </t>
  </si>
  <si>
    <t>BUTCT</t>
  </si>
  <si>
    <t xml:space="preserve">accoa[c] + but[c]  &lt;=&gt; ac[c] + btcoa[c] </t>
  </si>
  <si>
    <t>C120SN</t>
  </si>
  <si>
    <t>C140SN</t>
  </si>
  <si>
    <t>C141SN</t>
  </si>
  <si>
    <t>C160SN</t>
  </si>
  <si>
    <t>C161SN</t>
  </si>
  <si>
    <t>C181SN</t>
  </si>
  <si>
    <t>CAT</t>
  </si>
  <si>
    <t xml:space="preserve">(2) h2o2[c]  &lt;=&gt; (2) h2o[c] + o2[c] </t>
  </si>
  <si>
    <t>CBIAT</t>
  </si>
  <si>
    <t xml:space="preserve">atp[c] + cbi[c] + h2o[c]  &lt;=&gt; adocbi[c] + pi[c] + ppi[c] </t>
  </si>
  <si>
    <t>CBLAT</t>
  </si>
  <si>
    <t xml:space="preserve">atp[c] + cbl1[c] + h2o[c]  &lt;=&gt; adocbl[c] + pi[c] + ppi[c] </t>
  </si>
  <si>
    <t>CBMK</t>
  </si>
  <si>
    <t>CBPS</t>
  </si>
  <si>
    <t>CDAPPAEC</t>
  </si>
  <si>
    <t xml:space="preserve">(0.02) cdpdag1[c] + h2o[c]  &lt;=&gt; cmp[c] + (0.02) paEC[c] </t>
  </si>
  <si>
    <t>CDPMEK</t>
  </si>
  <si>
    <t xml:space="preserve">4c2me[c] + atp[c]  &lt;=&gt; 2p4c2me[c] + adp[c] </t>
  </si>
  <si>
    <t>CHORM</t>
  </si>
  <si>
    <t xml:space="preserve">chor[c]  &lt;=&gt; pphn[c] </t>
  </si>
  <si>
    <t>CHORS</t>
  </si>
  <si>
    <t xml:space="preserve">3psme[c]  &lt;=&gt; chor[c] + pi[c] </t>
  </si>
  <si>
    <t>CHRPL</t>
  </si>
  <si>
    <t xml:space="preserve">chor[c]  &lt;=&gt; 4hbz[c] + pyr[c] </t>
  </si>
  <si>
    <t>CINNDO</t>
  </si>
  <si>
    <t xml:space="preserve">cinnm[c] + nadh[c] + o2[c]  &lt;=&gt; cenchddd[c] + nad[c] </t>
  </si>
  <si>
    <t>CITL</t>
  </si>
  <si>
    <t xml:space="preserve">cit[c]  &lt;=&gt; ac[c] + oaa[c] </t>
  </si>
  <si>
    <t>CLPNSEC</t>
  </si>
  <si>
    <t xml:space="preserve">(0.04) pgEC[c]  &lt;=&gt; (0.02) clpnEC[c] + glyc[c] </t>
  </si>
  <si>
    <t>CMPN</t>
  </si>
  <si>
    <t xml:space="preserve">cmp[c] + h2o[c]  &lt;=&gt; csn[c] + r5p[c] </t>
  </si>
  <si>
    <t>CPPPGO</t>
  </si>
  <si>
    <t>CRNBTCT</t>
  </si>
  <si>
    <t xml:space="preserve">bbtcoa[c] + crn[c]  &lt;=&gt; crncoa[c] + gbbtn[c] </t>
  </si>
  <si>
    <t>CRNCBCT</t>
  </si>
  <si>
    <t xml:space="preserve">crn[c] + ctbtcoa[c]  &lt;=&gt; crncoa[c] + ctbt[c] </t>
  </si>
  <si>
    <t>CRNCDH</t>
  </si>
  <si>
    <t xml:space="preserve">crncoa[c]  &lt;=&gt; ctbtcoa[c] + h2o[c] </t>
  </si>
  <si>
    <t>CS</t>
  </si>
  <si>
    <t xml:space="preserve">accoa[c] + h2o[c] + oaa[c]  &lt;=&gt; cit[c] + coa[c] </t>
  </si>
  <si>
    <t>CSND</t>
  </si>
  <si>
    <t xml:space="preserve">csn[c] + h2o[c]  &lt;=&gt; nh3[c] + ura[c] </t>
  </si>
  <si>
    <t>CTPS2</t>
  </si>
  <si>
    <t xml:space="preserve">atp[c] + gln-L[c] + h2o[c] + utp[c]  &lt;=&gt; adp[c] + ctp[c] + glu-L[c] + pi[c] </t>
  </si>
  <si>
    <t>CYANST</t>
  </si>
  <si>
    <t xml:space="preserve">cyan[c] + tsul[c]  &lt;=&gt; so3[c] + tcynt[c] </t>
  </si>
  <si>
    <t>CYNTAH</t>
  </si>
  <si>
    <t>CYSS</t>
  </si>
  <si>
    <t xml:space="preserve">acser[c] + h2s[c]  &lt;=&gt; ac[c] + cys-L[c] </t>
  </si>
  <si>
    <t>CYSTL</t>
  </si>
  <si>
    <t xml:space="preserve">cyst-L[c] + h2o[c]  &lt;=&gt; hcys-L[c] + nh3[c] + pyr[c] </t>
  </si>
  <si>
    <t>CYTD</t>
  </si>
  <si>
    <t xml:space="preserve">cytd[c] + h2o[c]  &lt;=&gt; nh3[c] + uri[c] </t>
  </si>
  <si>
    <t>CYTDK2</t>
  </si>
  <si>
    <t xml:space="preserve">cytd[c] + gtp[c]  &lt;=&gt; cmp[c] + gdp[c] </t>
  </si>
  <si>
    <t>CYTK1</t>
  </si>
  <si>
    <t xml:space="preserve">atp[c] + cmp[c]  &lt;=&gt; adp[c] + cdp[c] </t>
  </si>
  <si>
    <t>CYTK2</t>
  </si>
  <si>
    <t xml:space="preserve">atp[c] + dcmp[c]  &lt;=&gt; adp[c] + dcdp[c] </t>
  </si>
  <si>
    <t>DAAD</t>
  </si>
  <si>
    <t xml:space="preserve">ala-D[c] + fad[c] + h2o[c]  &lt;=&gt; fadh2[c] + nh3[c] + pyr[c] </t>
  </si>
  <si>
    <t>DADA</t>
  </si>
  <si>
    <t xml:space="preserve">dad-2[c] + h2o[c]  &lt;=&gt; din[c] + nh3[c] </t>
  </si>
  <si>
    <t>DADK</t>
  </si>
  <si>
    <t xml:space="preserve">atp[c] + damp[c]  &lt;=&gt; adp[c] + dadp[c] </t>
  </si>
  <si>
    <t>DAGKEC</t>
  </si>
  <si>
    <t xml:space="preserve">(0.02) 12dgrEC[c] + atp[c]  &lt;=&gt; adp[c] + (0.02) paEC[c] </t>
  </si>
  <si>
    <t>DAPDC</t>
  </si>
  <si>
    <t>DAPE</t>
  </si>
  <si>
    <t xml:space="preserve">26dap-LL[c]  &lt;=&gt; 26dap-M[c] </t>
  </si>
  <si>
    <t>DASYNEC</t>
  </si>
  <si>
    <t xml:space="preserve">ctp[c] + (0.02) paEC[c]  &lt;=&gt; (0.02) cdpdag1[c] + ppi[c] </t>
  </si>
  <si>
    <t>DB4PS</t>
  </si>
  <si>
    <t xml:space="preserve">ru5p-D[c]  &lt;=&gt; db4p[c] + for[c] </t>
  </si>
  <si>
    <t>DBTSr</t>
  </si>
  <si>
    <t>DCTPD</t>
  </si>
  <si>
    <t xml:space="preserve">dctp[c] + h2o[c]  &lt;=&gt; dutp[c] + nh3[c] </t>
  </si>
  <si>
    <t>DCYTD</t>
  </si>
  <si>
    <t xml:space="preserve">dcyt[c] + h2o[c]  &lt;=&gt; duri[c] + nh3[c] </t>
  </si>
  <si>
    <t>DDGALK</t>
  </si>
  <si>
    <t xml:space="preserve">2dh3dgal[c] + atp[c]  &lt;=&gt; 2dh3dgal6p[c] + adp[c] </t>
  </si>
  <si>
    <t>DDGLK</t>
  </si>
  <si>
    <t xml:space="preserve">2ddglcn[c] + atp[c]  &lt;=&gt; 2ddg6p[c] + adp[c] </t>
  </si>
  <si>
    <t>DDPA</t>
  </si>
  <si>
    <t xml:space="preserve">e4p[c] + h2o[c] + pep[c]  &lt;=&gt; 2dda7p[c] + pi[c] </t>
  </si>
  <si>
    <t>DDPGALA</t>
  </si>
  <si>
    <t xml:space="preserve">2dh3dgal6p[c]  &lt;=&gt; g3p[c] + pyr[c] </t>
  </si>
  <si>
    <t>DGK1</t>
  </si>
  <si>
    <t xml:space="preserve">atp[c] + dgmp[c]  &lt;=&gt; adp[c] + dgdp[c] </t>
  </si>
  <si>
    <t>DHAD1</t>
  </si>
  <si>
    <t xml:space="preserve">23dhmb[c]  &lt;=&gt; 3mob[c] + h2o[c] </t>
  </si>
  <si>
    <t>DHAD2</t>
  </si>
  <si>
    <t xml:space="preserve">23dhmp[c]  &lt;=&gt; 3mop[c] + h2o[c] </t>
  </si>
  <si>
    <t>DHAPT</t>
  </si>
  <si>
    <t xml:space="preserve">dha[c] + pep[c]  &lt;=&gt; dhap[c] + pyr[c] </t>
  </si>
  <si>
    <t>DHBD</t>
  </si>
  <si>
    <t xml:space="preserve">23ddhb[c] + nad[c]  &lt;=&gt; 23dhb[c] + nadh[c] </t>
  </si>
  <si>
    <t>DHBSr</t>
  </si>
  <si>
    <t xml:space="preserve">23dhb[c] + atp[c]  &lt;=&gt; 23dhba[c] + ppi[c] </t>
  </si>
  <si>
    <t>DHCIND</t>
  </si>
  <si>
    <t xml:space="preserve">cenchddd[c] + nad[c]  &lt;=&gt; dhcinnm[c] + nadh[c] </t>
  </si>
  <si>
    <t>DHCINDO</t>
  </si>
  <si>
    <t xml:space="preserve">dhcinnm[c] + o2[c]  &lt;=&gt; hkntd[c] </t>
  </si>
  <si>
    <t>DHDPRy</t>
  </si>
  <si>
    <t xml:space="preserve">23dhdp[c] + nadph[c]  &lt;=&gt; nadp[c] + thdp[c] </t>
  </si>
  <si>
    <t>DHDPS</t>
  </si>
  <si>
    <t xml:space="preserve">aspsa[c] + pyr[c]  &lt;=&gt; 23dhdp[c] + (2) h2o[c] </t>
  </si>
  <si>
    <t>DHFR</t>
  </si>
  <si>
    <t xml:space="preserve">dhf[c] + nadph[c]  &lt;=&gt; nadp[c] + thf[c] </t>
  </si>
  <si>
    <t>DHFS</t>
  </si>
  <si>
    <t xml:space="preserve">atp[c] + dhpt[c] + glu-L[c]  &lt;=&gt; adp[c] + dhf[c] + pi[c] </t>
  </si>
  <si>
    <t>DHNAOT</t>
  </si>
  <si>
    <t>DHNPA2</t>
  </si>
  <si>
    <t xml:space="preserve">dhnpt[c]  &lt;=&gt; 6hmhpt[c] + gcald[c] </t>
  </si>
  <si>
    <t>DHORD2</t>
  </si>
  <si>
    <t xml:space="preserve">dhor-S[c] + q8[c]  &lt;=&gt; orot[c] + q8h2[c] </t>
  </si>
  <si>
    <t>DHORD5</t>
  </si>
  <si>
    <t xml:space="preserve">dhor-S[c] + mqn8[c]  &lt;=&gt; mql8[c] + orot[c] </t>
  </si>
  <si>
    <t>DHORTS</t>
  </si>
  <si>
    <t xml:space="preserve">dhor-S[c] + h2o[c]  &lt;=&gt; cbasp[c] </t>
  </si>
  <si>
    <t>DHPPD</t>
  </si>
  <si>
    <t xml:space="preserve">cechddd[c] + nad[c]  &lt;=&gt; dhpppn[c] + nadh[c] </t>
  </si>
  <si>
    <t>DHPPDA2</t>
  </si>
  <si>
    <t xml:space="preserve">25drapp[c] + h2o[c]  &lt;=&gt; 5apru[c] + nh3[c] </t>
  </si>
  <si>
    <t>DHPS2</t>
  </si>
  <si>
    <t xml:space="preserve">4abz[c] + 6hmhptpp[c]  &lt;=&gt; dhpt[c] + ppi[c] </t>
  </si>
  <si>
    <t>DHPTDC</t>
  </si>
  <si>
    <t xml:space="preserve">dhptd[c]  &lt;=&gt; h2o[c] + hmfurn[c] </t>
  </si>
  <si>
    <t>DHQD</t>
  </si>
  <si>
    <t xml:space="preserve">3dhq[c]  &lt;=&gt; 3dhsk[c] + h2o[c] </t>
  </si>
  <si>
    <t>DHQS</t>
  </si>
  <si>
    <t xml:space="preserve">2dda7p[c]  &lt;=&gt; 3dhq[c] + pi[c] </t>
  </si>
  <si>
    <t>DKGLCNR1</t>
  </si>
  <si>
    <t xml:space="preserve">25dkglcn[c] + nadph[c]  &lt;=&gt; 2dhguln[c] + nadp[c] </t>
  </si>
  <si>
    <t>DKGLCNR2x</t>
  </si>
  <si>
    <t xml:space="preserve">25dkglcn[c] + nadh[c]  &lt;=&gt; 5dglcn[c] + nad[c] </t>
  </si>
  <si>
    <t>DKGLCNR2y</t>
  </si>
  <si>
    <t xml:space="preserve">25dkglcn[c] + nadph[c]  &lt;=&gt; 5dglcn[c] + nadp[c] </t>
  </si>
  <si>
    <t>DKMPPD</t>
  </si>
  <si>
    <t xml:space="preserve">dkmpp[c] + h2o[c] + o2[c]  &lt;=&gt; 2kmb[c] + for[c] + pi[c] </t>
  </si>
  <si>
    <t>DKMPPD2</t>
  </si>
  <si>
    <t xml:space="preserve">dkmpp[c] + (3) h2o[c]  &lt;=&gt; 2kmb[c] + for[c] + pi[c] </t>
  </si>
  <si>
    <t>DMATT</t>
  </si>
  <si>
    <t xml:space="preserve">dmpp[c] + ipdp[c]  &lt;=&gt; grdp[c] + ppi[c] </t>
  </si>
  <si>
    <t>DMPPS</t>
  </si>
  <si>
    <t xml:space="preserve">h2mb4p[c] + nadh[c]  &lt;=&gt; dmpp[c] + h2o[c] + nad[c] </t>
  </si>
  <si>
    <t>DMQMT</t>
  </si>
  <si>
    <t xml:space="preserve">2omhmbl[c] + amet[c]  &lt;=&gt; ahcys[c] + q8h2[c] </t>
  </si>
  <si>
    <t>DMSOR1</t>
  </si>
  <si>
    <t xml:space="preserve">dmso[c] + mql8[c]  &lt;=&gt; dms[c] + h2o[c] + mqn8[c] </t>
  </si>
  <si>
    <t>DMSOR2</t>
  </si>
  <si>
    <t xml:space="preserve">2dmmql8[c] + dmso[c]  &lt;=&gt; 2dmmq8[c] + dms[c] + h2o[c] </t>
  </si>
  <si>
    <t>DNMPPA</t>
  </si>
  <si>
    <t xml:space="preserve">dhpmp[c] + h2o[c]  &lt;=&gt; dhnpt[c] + pi[c] </t>
  </si>
  <si>
    <t>DNTPPA</t>
  </si>
  <si>
    <t xml:space="preserve">ahdt[c] + h2o[c]  &lt;=&gt; dhpmp[c] + ppi[c] </t>
  </si>
  <si>
    <t>DOGULNR</t>
  </si>
  <si>
    <t xml:space="preserve">23doguln[c] + nadh[c]  &lt;=&gt; 3dhguln[c] + nad[c] </t>
  </si>
  <si>
    <t>DPCOAK</t>
  </si>
  <si>
    <t xml:space="preserve">atp[c] + dpcoa[c]  &lt;=&gt; adp[c] + coa[c] </t>
  </si>
  <si>
    <t>DPR</t>
  </si>
  <si>
    <t xml:space="preserve">2dhp[c] + nadph[c]  &lt;=&gt; nadp[c] + pant-R[c] </t>
  </si>
  <si>
    <t>DRPA</t>
  </si>
  <si>
    <t xml:space="preserve">2dr5p[c]  &lt;=&gt; acald[c] + g3p[c] </t>
  </si>
  <si>
    <t>DTMPK</t>
  </si>
  <si>
    <t xml:space="preserve">atp[c] + dtmp[c]  &lt;=&gt; adp[c] + dtdp[c] </t>
  </si>
  <si>
    <t>DURIK1</t>
  </si>
  <si>
    <t xml:space="preserve">atp[c] + duri[c]  &lt;=&gt; adp[c] + dump[c] </t>
  </si>
  <si>
    <t>DURIPP</t>
  </si>
  <si>
    <t xml:space="preserve">duri[c] + pi[c]  &lt;=&gt; 2dr1p[c] + ura[c] </t>
  </si>
  <si>
    <t>DUTPDP</t>
  </si>
  <si>
    <t xml:space="preserve">dutp[c] + h2o[c]  &lt;=&gt; dump[c] + ppi[c] </t>
  </si>
  <si>
    <t>DXPRIi</t>
  </si>
  <si>
    <t xml:space="preserve">dxyl5p[c] + nadph[c]  &lt;=&gt; 2me4p[c] + nadp[c] </t>
  </si>
  <si>
    <t>DXPS</t>
  </si>
  <si>
    <t>DXYLK</t>
  </si>
  <si>
    <t xml:space="preserve">atp[c] + dxyl[c]  &lt;=&gt; adp[c] + dxyl5p[c] </t>
  </si>
  <si>
    <t>E4PD</t>
  </si>
  <si>
    <t xml:space="preserve">e4p[c] + h2o[c] + nad[c]  &lt;=&gt; 4per[c] + nadh[c] </t>
  </si>
  <si>
    <t>ECAPEC</t>
  </si>
  <si>
    <t xml:space="preserve">unagamuf[c]  &lt;=&gt; ecaEC[c] + udcpdp[c] </t>
  </si>
  <si>
    <t>EDA</t>
  </si>
  <si>
    <t xml:space="preserve">2ddg6p[c]  &lt;=&gt; g3p[c] + pyr[c] </t>
  </si>
  <si>
    <t>EDD</t>
  </si>
  <si>
    <t xml:space="preserve">6pgc[c]  &lt;=&gt; 2ddg6p[c] + h2o[c] </t>
  </si>
  <si>
    <t>EDTXS1</t>
  </si>
  <si>
    <t xml:space="preserve">ddcaACP[c] + kdo2lipid4[c]  &lt;=&gt; ACP[c] + kdo2lipid4L[c] </t>
  </si>
  <si>
    <t>EDTXS2</t>
  </si>
  <si>
    <t xml:space="preserve">kdo2lipid4L[c] + myrsACP[c]  &lt;=&gt; ACP[c] + lipa[c] </t>
  </si>
  <si>
    <t>EDTXS3</t>
  </si>
  <si>
    <t xml:space="preserve">hdeACP[c] + kdo2lipid4[c]  &lt;=&gt; ACP[c] + kdo2lipid4p[c] </t>
  </si>
  <si>
    <t>EDTXS4</t>
  </si>
  <si>
    <t xml:space="preserve">kdo2lipid4p[c] + myrsACP[c]  &lt;=&gt; ACP[c] + lipa_cold[c] </t>
  </si>
  <si>
    <t>ENO</t>
  </si>
  <si>
    <t xml:space="preserve">2pg[c]  &lt;=&gt; h2o[c] + pep[c] </t>
  </si>
  <si>
    <t>ENTCS</t>
  </si>
  <si>
    <t xml:space="preserve">(3) 23dhba[c] + (3) seramp[c]  &lt;=&gt; (6) amp[c] + enter[c] </t>
  </si>
  <si>
    <t>ETHAAL</t>
  </si>
  <si>
    <t xml:space="preserve">etha[c]  &lt;=&gt; acald[c] + nh3[c] </t>
  </si>
  <si>
    <t>F6PA</t>
  </si>
  <si>
    <t xml:space="preserve">f6p[c]  &lt;=&gt; dha[c] + g3p[c] </t>
  </si>
  <si>
    <t>FAO1</t>
  </si>
  <si>
    <t xml:space="preserve">atp[c] + (7) coa[c] + (6) fad[c] + (6) h2o[c] + (6) nad[c] + ttdca[c]  &lt;=&gt; (7) accoa[c] + amp[c] + (6) fadh2[c] + (6) nadh[c] + ppi[c] </t>
  </si>
  <si>
    <t>FAO2</t>
  </si>
  <si>
    <t xml:space="preserve">atp[c] + (8) coa[c] + (7) fad[c] + (7) h2o[c] + hdca[c] + (7) nad[c]  &lt;=&gt; (8) accoa[c] + amp[c] + (7) fadh2[c] + (7) nadh[c] + ppi[c] </t>
  </si>
  <si>
    <t>FAO3</t>
  </si>
  <si>
    <t xml:space="preserve">atp[c] + (9) coa[c] + (8) fad[c] + (8) h2o[c] + (8) nad[c] + ocdca[c]  &lt;=&gt; (9) accoa[c] + amp[c] + (8) fadh2[c] + (8) nadh[c] + ppi[c] </t>
  </si>
  <si>
    <t>FAO4</t>
  </si>
  <si>
    <t xml:space="preserve">btcoa[c] + fad[c] + h2o[c] + nad[c]  &lt;=&gt; aacoa[c] + fadh2[c] + nadh[c] </t>
  </si>
  <si>
    <t>FBA</t>
  </si>
  <si>
    <t xml:space="preserve">fdp[c]  &lt;=&gt; dhap[c] + g3p[c] </t>
  </si>
  <si>
    <t>FBP</t>
  </si>
  <si>
    <t xml:space="preserve">fdp[c] + h2o[c]  &lt;=&gt; f6p[c] + pi[c] </t>
  </si>
  <si>
    <t>FCI</t>
  </si>
  <si>
    <t xml:space="preserve">fuc-L[c]  &lt;=&gt; fcl-L[c] </t>
  </si>
  <si>
    <t>FCLK</t>
  </si>
  <si>
    <t xml:space="preserve">atp[c] + fcl-L[c]  &lt;=&gt; adp[c] + fc1p[c] </t>
  </si>
  <si>
    <t>FCLPA</t>
  </si>
  <si>
    <t xml:space="preserve">fc1p[c]  &lt;=&gt; dhap[c] + lald-L[c] </t>
  </si>
  <si>
    <t>FCLT</t>
  </si>
  <si>
    <t xml:space="preserve">fe2[c] + ppp9[c]  &lt;=&gt; pheme[c] </t>
  </si>
  <si>
    <t>FFSD</t>
  </si>
  <si>
    <t xml:space="preserve">h2o[c] + suc6p[c]  &lt;=&gt; fru[c] + g6p[c] </t>
  </si>
  <si>
    <t>FHL</t>
  </si>
  <si>
    <t>FMNAT</t>
  </si>
  <si>
    <t xml:space="preserve">atp[c] + fmn[c]  &lt;=&gt; fad[c] + ppi[c] </t>
  </si>
  <si>
    <t>FRD2</t>
  </si>
  <si>
    <t xml:space="preserve">fum[c] + mql8[c]  &lt;=&gt; mqn8[c] + succ[c] </t>
  </si>
  <si>
    <t>FRD3</t>
  </si>
  <si>
    <t xml:space="preserve">2dmmql8[c] + fum[c]  &lt;=&gt; 2dmmq8[c] + succ[c] </t>
  </si>
  <si>
    <t>FRUK</t>
  </si>
  <si>
    <t xml:space="preserve">atp[c] + f1p[c]  &lt;=&gt; adp[c] + fdp[c] </t>
  </si>
  <si>
    <t>FTHFD</t>
  </si>
  <si>
    <t xml:space="preserve">10fthf[c] + h2o[c]  &lt;=&gt; for[c] + thf[c] </t>
  </si>
  <si>
    <t>FUM</t>
  </si>
  <si>
    <t xml:space="preserve">fum[c] + h2o[c]  &lt;=&gt; mal-L[c] </t>
  </si>
  <si>
    <t>G1PACT</t>
  </si>
  <si>
    <t xml:space="preserve">accoa[c] + gam1p[c]  &lt;=&gt; acgam1p[c] + coa[c] </t>
  </si>
  <si>
    <t>G1PP</t>
  </si>
  <si>
    <t xml:space="preserve">g1p[c] + h2o[c]  &lt;=&gt; glc-D[c] + pi[c] </t>
  </si>
  <si>
    <t>G1PTT</t>
  </si>
  <si>
    <t xml:space="preserve">dttp[c] + g1p[c]  &lt;=&gt; dtdpglu[c] + ppi[c] </t>
  </si>
  <si>
    <t>G1SATi</t>
  </si>
  <si>
    <t xml:space="preserve">glu1sa[c]  &lt;=&gt; 5aop[c] </t>
  </si>
  <si>
    <t>G3PD2</t>
  </si>
  <si>
    <t xml:space="preserve">glyc3p[c] + nadp[c]  &lt;=&gt; dhap[c] + nadph[c] </t>
  </si>
  <si>
    <t>G3PD5</t>
  </si>
  <si>
    <t xml:space="preserve">glyc3p[c] + q8[c]  &lt;=&gt; dhap[c] + q8h2[c] </t>
  </si>
  <si>
    <t>G3PD6</t>
  </si>
  <si>
    <t xml:space="preserve">glyc3p[c] + mqn8[c]  &lt;=&gt; dhap[c] + mql8[c] </t>
  </si>
  <si>
    <t>G3PD7</t>
  </si>
  <si>
    <t xml:space="preserve">2dmmq8[c] + glyc3p[c]  &lt;=&gt; 2dmmql8[c] + dhap[c] </t>
  </si>
  <si>
    <t>G5SADs</t>
  </si>
  <si>
    <t xml:space="preserve">glu5sa[c]  &lt;=&gt; 1pyr5c[c] + h2o[c] </t>
  </si>
  <si>
    <t>G5SD</t>
  </si>
  <si>
    <t xml:space="preserve">glu5p[c] + nadph[c]  &lt;=&gt; glu5sa[c] + nadp[c] + pi[c] </t>
  </si>
  <si>
    <t>G6PDA</t>
  </si>
  <si>
    <t xml:space="preserve">gam6p[c] + h2o[c]  &lt;=&gt; f6p[c] + nh3[c] </t>
  </si>
  <si>
    <t>G6PDH2r</t>
  </si>
  <si>
    <t xml:space="preserve">g6p[c] + nadp[c]  &lt;=&gt; 6pgl[c] + nadph[c] </t>
  </si>
  <si>
    <t>GALCTD</t>
  </si>
  <si>
    <t xml:space="preserve">galct-D[c]  &lt;=&gt; 5dh4dglc[c] + h2o[c] </t>
  </si>
  <si>
    <t>GALCTND</t>
  </si>
  <si>
    <t xml:space="preserve">galctn-D[c]  &lt;=&gt; 2dh3dgal[c] + h2o[c] </t>
  </si>
  <si>
    <t>GALKr</t>
  </si>
  <si>
    <t xml:space="preserve">atp[c] + gal[c]  &lt;=&gt; adp[c] + gal1p[c] </t>
  </si>
  <si>
    <t>GALS3</t>
  </si>
  <si>
    <t xml:space="preserve">h2o[c] + melib[c]  &lt;=&gt; gal[c] + glc-D[c] </t>
  </si>
  <si>
    <t>GALU</t>
  </si>
  <si>
    <t xml:space="preserve">g1p[c] + utp[c]  &lt;=&gt; ppi[c] + udpg[c] </t>
  </si>
  <si>
    <t>GAPD</t>
  </si>
  <si>
    <t xml:space="preserve">g3p[c] + nad[c] + pi[c]  &lt;=&gt; 13dpg[c] + nadh[c] </t>
  </si>
  <si>
    <t>GARFT</t>
  </si>
  <si>
    <t xml:space="preserve">10fthf[c] + gar[c]  &lt;=&gt; fgam[c] + thf[c] </t>
  </si>
  <si>
    <t>GART</t>
  </si>
  <si>
    <t xml:space="preserve">atp[c] + for[c] + gar[c]  &lt;=&gt; adp[c] + fgam[c] + pi[c] </t>
  </si>
  <si>
    <t>GCALDD</t>
  </si>
  <si>
    <t xml:space="preserve">gcald[c] + h2o[c] + nad[c]  &lt;=&gt; glyclt[c] + nadh[c] </t>
  </si>
  <si>
    <t>GDMANE</t>
  </si>
  <si>
    <t xml:space="preserve">gdpddman[c]  &lt;=&gt; gdpofuc[c] </t>
  </si>
  <si>
    <t>GF6PTA</t>
  </si>
  <si>
    <t xml:space="preserve">f6p[c] + gln-L[c]  &lt;=&gt; gam6p[c] + glu-L[c] </t>
  </si>
  <si>
    <t>GHMT2</t>
  </si>
  <si>
    <t xml:space="preserve">ser-L[c] + thf[c]  &lt;=&gt; gly[c] + h2o[c] + mlthf[c] </t>
  </si>
  <si>
    <t>GK1</t>
  </si>
  <si>
    <t xml:space="preserve">atp[c] + gmp[c]  &lt;=&gt; adp[c] + gdp[c] </t>
  </si>
  <si>
    <t>GLCP</t>
  </si>
  <si>
    <t>GLCRAL</t>
  </si>
  <si>
    <t xml:space="preserve">5dh4dglc[c]  &lt;=&gt; 2h3oppan[c] + pyr[c] </t>
  </si>
  <si>
    <t>GLCRD</t>
  </si>
  <si>
    <t xml:space="preserve">glcr[c]  &lt;=&gt; 5dh4dglc[c] + h2o[c] </t>
  </si>
  <si>
    <t>GLCS1</t>
  </si>
  <si>
    <t>GLGC</t>
  </si>
  <si>
    <t xml:space="preserve">atp[c] + g1p[c]  &lt;=&gt; adpglc[c] + ppi[c] </t>
  </si>
  <si>
    <t>GLNS</t>
  </si>
  <si>
    <t xml:space="preserve">atp[c] + glu-L[c] + nh3[c]  &lt;=&gt; adp[c] + gln-L[c] + pi[c] </t>
  </si>
  <si>
    <t>GLTPD</t>
  </si>
  <si>
    <t xml:space="preserve">galt1p[c] + nad[c]  &lt;=&gt; nadh[c] + tag6p-D[c] </t>
  </si>
  <si>
    <t>GLU5K</t>
  </si>
  <si>
    <t xml:space="preserve">atp[c] + glu-L[c]  &lt;=&gt; adp[c] + glu5p[c] </t>
  </si>
  <si>
    <t>GLUCYS</t>
  </si>
  <si>
    <t xml:space="preserve">atp[c] + cys-L[c] + glu-L[c]  &lt;=&gt; adp[c] + glucys[c] + pi[c] </t>
  </si>
  <si>
    <t>GLUDC</t>
  </si>
  <si>
    <t>GLUDy</t>
  </si>
  <si>
    <t xml:space="preserve">glu-L[c] + h2o[c] + nadp[c]  &lt;=&gt; akg[c] + nadph[c] + nh3[c] </t>
  </si>
  <si>
    <t>GLUN</t>
  </si>
  <si>
    <t xml:space="preserve">gln-L[c] + h2o[c]  &lt;=&gt; glu-L[c] + nh3[c] </t>
  </si>
  <si>
    <t>GLUPRT</t>
  </si>
  <si>
    <t xml:space="preserve">gln-L[c] + h2o[c] + prpp[c]  &lt;=&gt; glu-L[c] + ppi[c] + pram[c] </t>
  </si>
  <si>
    <t>GLUR</t>
  </si>
  <si>
    <t xml:space="preserve">glu-D[c]  &lt;=&gt; glu-L[c] </t>
  </si>
  <si>
    <t>GLUSy</t>
  </si>
  <si>
    <t xml:space="preserve">akg[c] + gln-L[c] + nadph[c]  &lt;=&gt; (2) glu-L[c] + nadp[c] </t>
  </si>
  <si>
    <t>GLUTRR</t>
  </si>
  <si>
    <t xml:space="preserve">glutrna[c] + nadph[c]  &lt;=&gt; glu1sa[c] + nadp[c] + trnaglu[c] </t>
  </si>
  <si>
    <t>GLUTRS</t>
  </si>
  <si>
    <t xml:space="preserve">atp[c] + glu-L[c] + trnaglu[c]  &lt;=&gt; amp[c] + glutrna[c] + ppi[c] </t>
  </si>
  <si>
    <t>GLXCL</t>
  </si>
  <si>
    <t>GLYATi</t>
  </si>
  <si>
    <t xml:space="preserve">2aobut[c] + coa[c]  &lt;=&gt; accoa[c] + gly[c] </t>
  </si>
  <si>
    <t>GLYCDx</t>
  </si>
  <si>
    <t xml:space="preserve">glyc[c] + nad[c]  &lt;=&gt; dha[c] + nadh[c] </t>
  </si>
  <si>
    <t>GLYCK</t>
  </si>
  <si>
    <t xml:space="preserve">atp[c] + glyc-R[c]  &lt;=&gt; 3pg[c] + adp[c] </t>
  </si>
  <si>
    <t>GLYCL</t>
  </si>
  <si>
    <t>GLYCLTDx</t>
  </si>
  <si>
    <t xml:space="preserve">glx[c] + nadh[c]  &lt;=&gt; glyclt[c] + nad[c] </t>
  </si>
  <si>
    <t>GLYCLTDy</t>
  </si>
  <si>
    <t xml:space="preserve">glx[c] + nadph[c]  &lt;=&gt; glyclt[c] + nadp[c] </t>
  </si>
  <si>
    <t>GLYCTO2</t>
  </si>
  <si>
    <t xml:space="preserve">glyclt[c] + q8[c]  &lt;=&gt; glx[c] + q8h2[c] </t>
  </si>
  <si>
    <t>GLYCTO3</t>
  </si>
  <si>
    <t xml:space="preserve">glyclt[c] + mqn8[c]  &lt;=&gt; glx[c] + mql8[c] </t>
  </si>
  <si>
    <t>GLYCTO4</t>
  </si>
  <si>
    <t xml:space="preserve">2dmmq8[c] + glyclt[c]  &lt;=&gt; 2dmmql8[c] + glx[c] </t>
  </si>
  <si>
    <t>GLYK</t>
  </si>
  <si>
    <t xml:space="preserve">atp[c] + glyc[c]  &lt;=&gt; adp[c] + glyc3p[c] </t>
  </si>
  <si>
    <t>GLYOX</t>
  </si>
  <si>
    <t xml:space="preserve">h2o[c] + lgt-S[c]  &lt;=&gt; gthrd[c] + lac-D[c] </t>
  </si>
  <si>
    <t>GMAND</t>
  </si>
  <si>
    <t xml:space="preserve">gdpmann[c]  &lt;=&gt; gdpddman[c] + h2o[c] </t>
  </si>
  <si>
    <t>GMHEPAT</t>
  </si>
  <si>
    <t xml:space="preserve">atp[c] + gmhep1p[c]  &lt;=&gt; adphep-DD[c] + ppi[c] </t>
  </si>
  <si>
    <t>GMHEPK</t>
  </si>
  <si>
    <t xml:space="preserve">atp[c] + gmhep7p[c]  &lt;=&gt; adp[c] + gmhep17bp[c] </t>
  </si>
  <si>
    <t>GMHEPPA</t>
  </si>
  <si>
    <t xml:space="preserve">gmhep17bp[c] + h2o[c]  &lt;=&gt; gmhep1p[c] + pi[c] </t>
  </si>
  <si>
    <t>GMPR</t>
  </si>
  <si>
    <t xml:space="preserve">gmp[c] + nadph[c]  &lt;=&gt; imp[c] + nadp[c] + nh3[c] </t>
  </si>
  <si>
    <t>GMPS2</t>
  </si>
  <si>
    <t xml:space="preserve">atp[c] + gln-L[c] + h2o[c] + xmp[c]  &lt;=&gt; amp[c] + glu-L[c] + gmp[c] + ppi[c] </t>
  </si>
  <si>
    <t>GND</t>
  </si>
  <si>
    <t>GNK</t>
  </si>
  <si>
    <t xml:space="preserve">atp[c] + glcn[c]  &lt;=&gt; 6pgc[c] + adp[c] </t>
  </si>
  <si>
    <t>GOFUCR</t>
  </si>
  <si>
    <t xml:space="preserve">gdpofuc[c] + nadph[c]  &lt;=&gt; gdpfuc[c] + nadp[c] </t>
  </si>
  <si>
    <t>GP4GH</t>
  </si>
  <si>
    <t xml:space="preserve">gp4g[c] + h2o[c]  &lt;=&gt; (2) gdp[c] </t>
  </si>
  <si>
    <t>GPDDA1</t>
  </si>
  <si>
    <t xml:space="preserve">g3pc[c] + h2o[c]  &lt;=&gt; chol[c] + glyc3p[c] </t>
  </si>
  <si>
    <t>GPDDA2</t>
  </si>
  <si>
    <t xml:space="preserve">g3pe[c] + h2o[c]  &lt;=&gt; etha[c] + glyc3p[c] </t>
  </si>
  <si>
    <t>GPDDA3</t>
  </si>
  <si>
    <t xml:space="preserve">g3ps[c] + h2o[c]  &lt;=&gt; glyc3p[c] + ser-L[c] </t>
  </si>
  <si>
    <t>GPDDA4</t>
  </si>
  <si>
    <t xml:space="preserve">g3pg[c] + h2o[c]  &lt;=&gt; glyc[c] + glyc3p[c] </t>
  </si>
  <si>
    <t>GPDDA5</t>
  </si>
  <si>
    <t xml:space="preserve">g3pi[c] + h2o[c]  &lt;=&gt; glyc3p[c] + inost[c] </t>
  </si>
  <si>
    <t>GRTT</t>
  </si>
  <si>
    <t xml:space="preserve">grdp[c] + ipdp[c]  &lt;=&gt; frdp[c] + ppi[c] </t>
  </si>
  <si>
    <t>GSNK</t>
  </si>
  <si>
    <t xml:space="preserve">atp[c] + gsn[c]  &lt;=&gt; adp[c] + gmp[c] </t>
  </si>
  <si>
    <t>GSPMDA</t>
  </si>
  <si>
    <t xml:space="preserve">gtspmd[c] + h2o[c]  &lt;=&gt; gthrd[c] + spmd[c] </t>
  </si>
  <si>
    <t>GSPMDS</t>
  </si>
  <si>
    <t xml:space="preserve">atp[c] + gthrd[c] + spmd[c]  &lt;=&gt; adp[c] + gtspmd[c] + pi[c] </t>
  </si>
  <si>
    <t>GTHOr</t>
  </si>
  <si>
    <t xml:space="preserve">gthox[c] + nadph[c]  &lt;=&gt; (2) gthrd[c] + nadp[c] </t>
  </si>
  <si>
    <t>GTHS</t>
  </si>
  <si>
    <t xml:space="preserve">atp[c] + glucys[c] + gly[c]  &lt;=&gt; adp[c] + gthrd[c] + pi[c] </t>
  </si>
  <si>
    <t>GTPCI</t>
  </si>
  <si>
    <t xml:space="preserve">gtp[c] + h2o[c]  &lt;=&gt; ahdt[c] + for[c] </t>
  </si>
  <si>
    <t>GTPCII2</t>
  </si>
  <si>
    <t xml:space="preserve">gtp[c] + (3) h2o[c]  &lt;=&gt; 25drapp[c] + for[c] + ppi[c] </t>
  </si>
  <si>
    <t>GUAD</t>
  </si>
  <si>
    <t xml:space="preserve">gua[c] + h2o[c]  &lt;=&gt; nh3[c] + xan[c] </t>
  </si>
  <si>
    <t>GUAPRT</t>
  </si>
  <si>
    <t xml:space="preserve">gua[c] + prpp[c]  &lt;=&gt; gmp[c] + ppi[c] </t>
  </si>
  <si>
    <t>GUI1</t>
  </si>
  <si>
    <t xml:space="preserve">glcur[c]  &lt;=&gt; fruur[c] </t>
  </si>
  <si>
    <t>GUI2</t>
  </si>
  <si>
    <t xml:space="preserve">galur[c]  &lt;=&gt; tagur[c] </t>
  </si>
  <si>
    <t>HBZOPT</t>
  </si>
  <si>
    <t xml:space="preserve">4hbz[c] + octdp[c]  &lt;=&gt; 3ophb[c] + ppi[c] </t>
  </si>
  <si>
    <t>HEMEOS</t>
  </si>
  <si>
    <t xml:space="preserve">frdp[c] + h2o[c] + pheme[c]  &lt;=&gt; hemeO[c] + ppi[c] </t>
  </si>
  <si>
    <t>HETZK</t>
  </si>
  <si>
    <t xml:space="preserve">4mhetz[c] + atp[c]  &lt;=&gt; 4mpetz[c] + adp[c] </t>
  </si>
  <si>
    <t>HEX1</t>
  </si>
  <si>
    <t xml:space="preserve">atp[c] + glc-D[c]  &lt;=&gt; adp[c] + g6p[c] </t>
  </si>
  <si>
    <t>HISTD</t>
  </si>
  <si>
    <t xml:space="preserve">h2o[c] + histd[c] + (2) nad[c]  &lt;=&gt; his-L[c] + (2) nadh[c] </t>
  </si>
  <si>
    <t>HISTP</t>
  </si>
  <si>
    <t xml:space="preserve">h2o[c] + hisp[c]  &lt;=&gt; histd[c] + pi[c] </t>
  </si>
  <si>
    <t>HKNDDH</t>
  </si>
  <si>
    <t xml:space="preserve">h2o[c] + hkndd[c]  &lt;=&gt; op4en[c] + succ[c] </t>
  </si>
  <si>
    <t>HKNTDH</t>
  </si>
  <si>
    <t xml:space="preserve">h2o[c] + hkntd[c]  &lt;=&gt; fum[c] + op4en[c] </t>
  </si>
  <si>
    <t>HMBS</t>
  </si>
  <si>
    <t xml:space="preserve">h2o[c] + (4) ppbng[c]  &lt;=&gt; hmbil[c] + (4) nh3[c] </t>
  </si>
  <si>
    <t>HMPK1</t>
  </si>
  <si>
    <t xml:space="preserve">4ahmmp[c] + atp[c]  &lt;=&gt; 4ampm[c] + adp[c] </t>
  </si>
  <si>
    <t>HOPNTAL</t>
  </si>
  <si>
    <t xml:space="preserve">4h2opntn[c]  &lt;=&gt; acald[c] + pyr[c] </t>
  </si>
  <si>
    <t>HPPK2</t>
  </si>
  <si>
    <t xml:space="preserve">6hmhpt[c] + atp[c]  &lt;=&gt; 6hmhptpp[c] + amp[c] </t>
  </si>
  <si>
    <t>HPPPNDO</t>
  </si>
  <si>
    <t xml:space="preserve">dhpppn[c] + o2[c]  &lt;=&gt; hkndd[c] </t>
  </si>
  <si>
    <t>HPYRI</t>
  </si>
  <si>
    <t xml:space="preserve">hpyr[c]  &lt;=&gt; 2h3oppan[c] </t>
  </si>
  <si>
    <t>HPYRRx</t>
  </si>
  <si>
    <t xml:space="preserve">hpyr[c] + nadh[c]  &lt;=&gt; glyc-R[c] + nad[c] </t>
  </si>
  <si>
    <t>HPYRRy</t>
  </si>
  <si>
    <t xml:space="preserve">hpyr[c] + nadph[c]  &lt;=&gt; glyc-R[c] + nadp[c] </t>
  </si>
  <si>
    <t>HSDy</t>
  </si>
  <si>
    <t xml:space="preserve">hom-L[c] + nadp[c]  &lt;=&gt; aspsa[c] + nadph[c] </t>
  </si>
  <si>
    <t>HSK</t>
  </si>
  <si>
    <t xml:space="preserve">atp[c] + hom-L[c]  &lt;=&gt; adp[c] + phom[c] </t>
  </si>
  <si>
    <t>HSST</t>
  </si>
  <si>
    <t xml:space="preserve">hom-L[c] + succoa[c]  &lt;=&gt; coa[c] + suchms[c] </t>
  </si>
  <si>
    <t>HSTPT</t>
  </si>
  <si>
    <t xml:space="preserve">glu-L[c] + imacp[c]  &lt;=&gt; akg[c] + hisp[c] </t>
  </si>
  <si>
    <t>HXPRT</t>
  </si>
  <si>
    <t xml:space="preserve">hxan[c] + prpp[c]  &lt;=&gt; imp[c] + ppi[c] </t>
  </si>
  <si>
    <t>HYPOE</t>
  </si>
  <si>
    <t xml:space="preserve">h2o[c] + pyam5p[c]  &lt;=&gt; pi[c] + pydam[c] </t>
  </si>
  <si>
    <t>ICDHyr</t>
  </si>
  <si>
    <t>ICHORSi</t>
  </si>
  <si>
    <t xml:space="preserve">chor[c]  &lt;=&gt; ichor[c] </t>
  </si>
  <si>
    <t>ICHORT</t>
  </si>
  <si>
    <t xml:space="preserve">h2o[c] + ichor[c]  &lt;=&gt; 23ddhb[c] + pyr[c] </t>
  </si>
  <si>
    <t>ICL</t>
  </si>
  <si>
    <t xml:space="preserve">icit[c]  &lt;=&gt; glx[c] + succ[c] </t>
  </si>
  <si>
    <t>IDOND</t>
  </si>
  <si>
    <t xml:space="preserve">5dglcn[c] + nadh[c]  &lt;=&gt; idon-L[c] + nad[c] </t>
  </si>
  <si>
    <t>IDOND2</t>
  </si>
  <si>
    <t xml:space="preserve">5dglcn[c] + nadph[c]  &lt;=&gt; idon-L[c] + nadp[c] </t>
  </si>
  <si>
    <t>IG3PS</t>
  </si>
  <si>
    <t xml:space="preserve">gln-L[c] + prlp[c]  &lt;=&gt; aicar[c] + eig3p[c] + glu-L[c] </t>
  </si>
  <si>
    <t>IGPDH</t>
  </si>
  <si>
    <t xml:space="preserve">eig3p[c]  &lt;=&gt; h2o[c] + imacp[c] </t>
  </si>
  <si>
    <t>IGPS</t>
  </si>
  <si>
    <t>ILETA</t>
  </si>
  <si>
    <t xml:space="preserve">akg[c] + ile-L[c]  &lt;=&gt; 3mop[c] + glu-L[c] </t>
  </si>
  <si>
    <t>IMPC</t>
  </si>
  <si>
    <t xml:space="preserve">h2o[c] + imp[c]  &lt;=&gt; fprica[c] </t>
  </si>
  <si>
    <t>IMPD</t>
  </si>
  <si>
    <t xml:space="preserve">h2o[c] + imp[c] + nad[c]  &lt;=&gt; nadh[c] + xmp[c] </t>
  </si>
  <si>
    <t>INSK</t>
  </si>
  <si>
    <t xml:space="preserve">atp[c] + ins[c]  &lt;=&gt; adp[c] + imp[c] </t>
  </si>
  <si>
    <t>IPDDIi</t>
  </si>
  <si>
    <t xml:space="preserve">ipdp[c]  &lt;=&gt; dmpp[c] </t>
  </si>
  <si>
    <t>IPDPS</t>
  </si>
  <si>
    <t xml:space="preserve">h2mb4p[c] + nadh[c]  &lt;=&gt; h2o[c] + ipdp[c] + nad[c] </t>
  </si>
  <si>
    <t>IPMD</t>
  </si>
  <si>
    <t xml:space="preserve">3c2hmp[c] + nad[c]  &lt;=&gt; 3c4mop[c] + nadh[c] </t>
  </si>
  <si>
    <t>IPPMIa</t>
  </si>
  <si>
    <t xml:space="preserve">3c2hmp[c]  &lt;=&gt; 2ippm[c] + h2o[c] </t>
  </si>
  <si>
    <t>IPPMIb</t>
  </si>
  <si>
    <t xml:space="preserve">2ippm[c] + h2o[c]  &lt;=&gt; 3c3hmp[c] </t>
  </si>
  <si>
    <t>IPPS</t>
  </si>
  <si>
    <t xml:space="preserve">3mob[c] + accoa[c] + h2o[c]  &lt;=&gt; 3c3hmp[c] + coa[c] </t>
  </si>
  <si>
    <t>KARA1i</t>
  </si>
  <si>
    <t xml:space="preserve">alac-S[c] + nadph[c]  &lt;=&gt; 23dhmb[c] + nadp[c] </t>
  </si>
  <si>
    <t>KARA2i</t>
  </si>
  <si>
    <t xml:space="preserve">2ahbut[c] + nadph[c]  &lt;=&gt; 23dhmp[c] + nadp[c] </t>
  </si>
  <si>
    <t>KAS14</t>
  </si>
  <si>
    <t>KAS15</t>
  </si>
  <si>
    <t>KAS16</t>
  </si>
  <si>
    <t>KDOCT2</t>
  </si>
  <si>
    <t xml:space="preserve">ctp[c] + kdo[c]  &lt;=&gt; ckdo[c] + ppi[c] </t>
  </si>
  <si>
    <t>KDOPP</t>
  </si>
  <si>
    <t xml:space="preserve">h2o[c] + kdo8p[c]  &lt;=&gt; kdo[c] + pi[c] </t>
  </si>
  <si>
    <t>KDOPS</t>
  </si>
  <si>
    <t xml:space="preserve">ara5p[c] + h2o[c] + pep[c]  &lt;=&gt; kdo8p[c] + pi[c] </t>
  </si>
  <si>
    <t>KG6PDC</t>
  </si>
  <si>
    <t>LACZ</t>
  </si>
  <si>
    <t xml:space="preserve">h2o[c] + lcts[c]  &lt;=&gt; gal[c] + glc-D[c] </t>
  </si>
  <si>
    <t>LCAD</t>
  </si>
  <si>
    <t xml:space="preserve">h2o[c] + lald-L[c] + nad[c]  &lt;=&gt; lac-L[c] + nadh[c] </t>
  </si>
  <si>
    <t>LCAR</t>
  </si>
  <si>
    <t xml:space="preserve">lald-L[c] + nadh[c]  &lt;=&gt; 12ppd-S[c] + nad[c] </t>
  </si>
  <si>
    <t>LDHD</t>
  </si>
  <si>
    <t xml:space="preserve">lac-D[c] + nad[c]  &lt;=&gt; nadh[c] + pyr[c] </t>
  </si>
  <si>
    <t>LDHD2</t>
  </si>
  <si>
    <t xml:space="preserve">lac-D[c] + q8[c]  &lt;=&gt; pyr[c] + q8h2[c] </t>
  </si>
  <si>
    <t>LEUTAi</t>
  </si>
  <si>
    <t xml:space="preserve">4mop[c] + glu-L[c]  &lt;=&gt; akg[c] + leu-L[c] </t>
  </si>
  <si>
    <t>LGTHL</t>
  </si>
  <si>
    <t xml:space="preserve">gthrd[c] + mthgxl[c]  &lt;=&gt; lgt-S[c] </t>
  </si>
  <si>
    <t>L-LACD2</t>
  </si>
  <si>
    <t xml:space="preserve">lac-L[c] + q8[c]  &lt;=&gt; pyr[c] + q8h2[c] </t>
  </si>
  <si>
    <t>L-LACD3</t>
  </si>
  <si>
    <t xml:space="preserve">lac-L[c] + mqn8[c]  &lt;=&gt; mql8[c] + pyr[c] </t>
  </si>
  <si>
    <t>LPADSS</t>
  </si>
  <si>
    <t xml:space="preserve">lipidX[c] + u23ga[c]  &lt;=&gt; lipidAds[c] + udp[c] </t>
  </si>
  <si>
    <t>LPLIPA1</t>
  </si>
  <si>
    <t xml:space="preserve">(0.02) agpgEC[c] + h2o[c]  &lt;=&gt; g3pg[c] + (0.36) hdca[c] + (0.07) hdcea[c] + (0.5) ocdcea[c] + (0.02) ttdca[c] + (0.05) ttdcea[c] </t>
  </si>
  <si>
    <t>LPLIPA2</t>
  </si>
  <si>
    <t xml:space="preserve">(0.02) agpeEC[c] + h2o[c]  &lt;=&gt; g3pe[c] + (0.36) hdca[c] + (0.07) hdcea[c] + (0.5) ocdcea[c] + (0.02) ttdca[c] + (0.05) ttdcea[c] </t>
  </si>
  <si>
    <t>LPLIPA3</t>
  </si>
  <si>
    <t xml:space="preserve">(0.02) agpcEC[c] + h2o[c]  &lt;=&gt; g3pc[c] + (0.36) hdca[c] + (0.07) hdcea[c] + (0.5) ocdcea[c] + (0.02) ttdca[c] + (0.05) ttdcea[c] </t>
  </si>
  <si>
    <t>LPLIPA4</t>
  </si>
  <si>
    <t xml:space="preserve">(0.02) agpeEC[c] + (0.02) pgEC[c]  &lt;=&gt; (0.02) apgEC[c] + g3pe[c] </t>
  </si>
  <si>
    <t>LPLIPA5</t>
  </si>
  <si>
    <t xml:space="preserve">(0.02) agpcEC[c] + (0.02) pgEC[c]  &lt;=&gt; (0.02) apgEC[c] + g3pc[c] </t>
  </si>
  <si>
    <t>LPLIPA6</t>
  </si>
  <si>
    <t xml:space="preserve">(0.02) agpgEC[c] + (0.02) pgEC[c]  &lt;=&gt; (0.02) apgEC[c] + g3pg[c] </t>
  </si>
  <si>
    <t>LPSSYNEC</t>
  </si>
  <si>
    <t xml:space="preserve">(3) adphep-LD[c] + (2) cdpea[c] + (3) ckdo[c] + lipa[c] + (2) udpg[c]  &lt;=&gt; (3) adp[c] + (2) cdp[c] + (3) cmp[c] + lpsEC[c] + (2) udp[c] </t>
  </si>
  <si>
    <t>LYSDC</t>
  </si>
  <si>
    <t>M1PD</t>
  </si>
  <si>
    <t xml:space="preserve">mnl1p[c] + nad[c]  &lt;=&gt; f6p[c] + nadh[c] </t>
  </si>
  <si>
    <t>MACPD</t>
  </si>
  <si>
    <t>MALS</t>
  </si>
  <si>
    <t xml:space="preserve">accoa[c] + glx[c] + h2o[c]  &lt;=&gt; coa[c] + mal-L[c] </t>
  </si>
  <si>
    <t>MAN1PT2</t>
  </si>
  <si>
    <t xml:space="preserve">gdp[c] + man1p[c]  &lt;=&gt; gdpmann[c] + pi[c] </t>
  </si>
  <si>
    <t>MAN6PI</t>
  </si>
  <si>
    <t xml:space="preserve">man6p[c]  &lt;=&gt; f6p[c] </t>
  </si>
  <si>
    <t>MANAO</t>
  </si>
  <si>
    <t xml:space="preserve">mana[c] + nad[c]  &lt;=&gt; fruur[c] + nadh[c] </t>
  </si>
  <si>
    <t>MCITD</t>
  </si>
  <si>
    <t xml:space="preserve">2mcit[c]  &lt;=&gt; 2mcacn[c] + h2o[c] </t>
  </si>
  <si>
    <t>MCITL2</t>
  </si>
  <si>
    <t xml:space="preserve">micit[c]  &lt;=&gt; pyr[c] + succ[c] </t>
  </si>
  <si>
    <t>MCITS</t>
  </si>
  <si>
    <t xml:space="preserve">h2o[c] + oaa[c] + ppcoa[c]  &lt;=&gt; 2mcit[c] + coa[c] </t>
  </si>
  <si>
    <t>MCOATA</t>
  </si>
  <si>
    <t xml:space="preserve">ACP[c] + malcoa[c]  &lt;=&gt; coa[c] + malACP[c] </t>
  </si>
  <si>
    <t>MDH</t>
  </si>
  <si>
    <t xml:space="preserve">mal-L[c] + nad[c]  &lt;=&gt; nadh[c] + oaa[c] </t>
  </si>
  <si>
    <t>MDH2</t>
  </si>
  <si>
    <t xml:space="preserve">mal-L[c] + q8[c]  &lt;=&gt; oaa[c] + q8h2[c] </t>
  </si>
  <si>
    <t>MDH3</t>
  </si>
  <si>
    <t xml:space="preserve">mal-L[c] + mqn8[c]  &lt;=&gt; mql8[c] + oaa[c] </t>
  </si>
  <si>
    <t>MDRPD</t>
  </si>
  <si>
    <t xml:space="preserve">5mdru1p[c]  &lt;=&gt; dkmpp[c] + h2o[c] </t>
  </si>
  <si>
    <t>ME1</t>
  </si>
  <si>
    <t>ME2</t>
  </si>
  <si>
    <t>MECDPDH</t>
  </si>
  <si>
    <t xml:space="preserve">2mecdp[c]  &lt;=&gt; h2mb4p[c] + h2o[c] </t>
  </si>
  <si>
    <t>MECDPS</t>
  </si>
  <si>
    <t xml:space="preserve">2p4c2me[c]  &lt;=&gt; 2mecdp[c] + cmp[c] </t>
  </si>
  <si>
    <t>MEPCT</t>
  </si>
  <si>
    <t xml:space="preserve">2me4p[c] + ctp[c]  &lt;=&gt; 4c2me[c] + ppi[c] </t>
  </si>
  <si>
    <t>METAT</t>
  </si>
  <si>
    <t xml:space="preserve">atp[c] + h2o[c] + met-L[c]  &lt;=&gt; amet[c] + pi[c] + ppi[c] </t>
  </si>
  <si>
    <t>METS</t>
  </si>
  <si>
    <t xml:space="preserve">5mthf[c] + hcys-L[c]  &lt;=&gt; met-L[c] + thf[c] </t>
  </si>
  <si>
    <t>MGSA</t>
  </si>
  <si>
    <t xml:space="preserve">dhap[c]  &lt;=&gt; mthgxl[c] + pi[c] </t>
  </si>
  <si>
    <t>MI1PP</t>
  </si>
  <si>
    <t xml:space="preserve">h2o[c] + mi1p-D[c]  &lt;=&gt; inost[c] + pi[c] </t>
  </si>
  <si>
    <t>MICITD</t>
  </si>
  <si>
    <t xml:space="preserve">2mcacn[c] + h2o[c]  &lt;=&gt; micit[c] </t>
  </si>
  <si>
    <t>MLTG1</t>
  </si>
  <si>
    <t xml:space="preserve">h2o[c] + malttr[c]  &lt;=&gt; glc-D[c] + malt[c] </t>
  </si>
  <si>
    <t>MLTG2</t>
  </si>
  <si>
    <t xml:space="preserve">h2o[c] + maltttr[c]  &lt;=&gt; glc-D[c] + malttr[c] </t>
  </si>
  <si>
    <t>MLTG3</t>
  </si>
  <si>
    <t xml:space="preserve">h2o[c] + maltpt[c]  &lt;=&gt; glc-D[c] + maltttr[c] </t>
  </si>
  <si>
    <t>MLTG4</t>
  </si>
  <si>
    <t xml:space="preserve">h2o[c] + malthx[c]  &lt;=&gt; glc-D[c] + maltpt[c] </t>
  </si>
  <si>
    <t>MLTG5</t>
  </si>
  <si>
    <t xml:space="preserve">h2o[c] + malthp[c]  &lt;=&gt; glc-D[c] + malthx[c] </t>
  </si>
  <si>
    <t>MLTP1</t>
  </si>
  <si>
    <t xml:space="preserve">maltpt[c] + pi[c]  &lt;=&gt; g1p[c] + maltttr[c] </t>
  </si>
  <si>
    <t>MLTP2</t>
  </si>
  <si>
    <t xml:space="preserve">malthx[c] + pi[c]  &lt;=&gt; g1p[c] + maltpt[c] </t>
  </si>
  <si>
    <t>MLTP3</t>
  </si>
  <si>
    <t xml:space="preserve">malthp[c] + pi[c]  &lt;=&gt; g1p[c] + malthx[c] </t>
  </si>
  <si>
    <t>MMCD</t>
  </si>
  <si>
    <t>MME</t>
  </si>
  <si>
    <t xml:space="preserve">mmcoa-R[c]  &lt;=&gt; mmcoa-S[c] </t>
  </si>
  <si>
    <t>MMM2</t>
  </si>
  <si>
    <t xml:space="preserve">succoa[c]  &lt;=&gt; mmcoa-R[c] </t>
  </si>
  <si>
    <t>MNNH</t>
  </si>
  <si>
    <t xml:space="preserve">mana[c]  &lt;=&gt; 2ddglcn[c] + h2o[c] </t>
  </si>
  <si>
    <t>MOAT</t>
  </si>
  <si>
    <t>MOAT2</t>
  </si>
  <si>
    <t xml:space="preserve">ckdo[c] + kdolipid4[c]  &lt;=&gt; cmp[c] + kdo2lipid4[c] </t>
  </si>
  <si>
    <t>MOHMT</t>
  </si>
  <si>
    <t xml:space="preserve">3mob[c] + h2o[c] + mlthf[c]  &lt;=&gt; 2dhp[c] + thf[c] </t>
  </si>
  <si>
    <t>MTAN</t>
  </si>
  <si>
    <t xml:space="preserve">5mta[c] + h2o[c]  &lt;=&gt; 5mtr[c] + ade[c] </t>
  </si>
  <si>
    <t>MTHFC</t>
  </si>
  <si>
    <t xml:space="preserve">h2o[c] + methf[c]  &lt;=&gt; 10fthf[c] </t>
  </si>
  <si>
    <t>MTHFD</t>
  </si>
  <si>
    <t xml:space="preserve">mlthf[c] + nadp[c]  &lt;=&gt; methf[c] + nadph[c] </t>
  </si>
  <si>
    <t>MTHFR2</t>
  </si>
  <si>
    <t xml:space="preserve">mlthf[c] + nadh[c]  &lt;=&gt; 5mthf[c] + nad[c] </t>
  </si>
  <si>
    <t>MTRI</t>
  </si>
  <si>
    <t xml:space="preserve">5mdr1p[c]  &lt;=&gt; 5mdru1p[c] </t>
  </si>
  <si>
    <t>MTRK</t>
  </si>
  <si>
    <t xml:space="preserve">5mtr[c] + atp[c]  &lt;=&gt; 5mdr1p[c] + adp[c] </t>
  </si>
  <si>
    <t>NACODA</t>
  </si>
  <si>
    <t xml:space="preserve">acg5sa[c] + h2o[c]  &lt;=&gt; ac[c] + glu5sa[c] </t>
  </si>
  <si>
    <t>NADDP</t>
  </si>
  <si>
    <t xml:space="preserve">h2o[c] + nad[c]  &lt;=&gt; amp[c] + nmn[c] </t>
  </si>
  <si>
    <t>NADH10</t>
  </si>
  <si>
    <t xml:space="preserve">mqn8[c] + nadh[c]  &lt;=&gt; mql8[c] + nad[c] </t>
  </si>
  <si>
    <t>NADH5</t>
  </si>
  <si>
    <t xml:space="preserve">nadh[c] + q8[c]  &lt;=&gt; nad[c] + q8h2[c] </t>
  </si>
  <si>
    <t>NADH9</t>
  </si>
  <si>
    <t xml:space="preserve">2dmmq8[c] + nadh[c]  &lt;=&gt; 2dmmql8[c] + nad[c] </t>
  </si>
  <si>
    <t>NADK</t>
  </si>
  <si>
    <t xml:space="preserve">atp[c] + nad[c]  &lt;=&gt; adp[c] + nadp[c] </t>
  </si>
  <si>
    <t>NADPPPS</t>
  </si>
  <si>
    <t xml:space="preserve">h2o[c] + nadp[c]  &lt;=&gt; nad[c] + pi[c] </t>
  </si>
  <si>
    <t>NADS1</t>
  </si>
  <si>
    <t xml:space="preserve">atp[c] + dnad[c] + nh3[c]  &lt;=&gt; amp[c] + nad[c] + ppi[c] </t>
  </si>
  <si>
    <t>NAMNPP</t>
  </si>
  <si>
    <t xml:space="preserve">atp[c] + h2o[c] + nac[c] + prpp[c]  &lt;=&gt; adp[c] + nicrnt[c] + pi[c] + ppi[c] </t>
  </si>
  <si>
    <t>NDPK1</t>
  </si>
  <si>
    <t xml:space="preserve">atp[c] + gdp[c]  &lt;=&gt; adp[c] + gtp[c] </t>
  </si>
  <si>
    <t>NDPK2</t>
  </si>
  <si>
    <t xml:space="preserve">atp[c] + udp[c]  &lt;=&gt; adp[c] + utp[c] </t>
  </si>
  <si>
    <t>NDPK3</t>
  </si>
  <si>
    <t xml:space="preserve">atp[c] + cdp[c]  &lt;=&gt; adp[c] + ctp[c] </t>
  </si>
  <si>
    <t>NDPK4</t>
  </si>
  <si>
    <t xml:space="preserve">atp[c] + dtdp[c]  &lt;=&gt; adp[c] + dttp[c] </t>
  </si>
  <si>
    <t>NDPK5</t>
  </si>
  <si>
    <t xml:space="preserve">atp[c] + dgdp[c]  &lt;=&gt; adp[c] + dgtp[c] </t>
  </si>
  <si>
    <t>NDPK6</t>
  </si>
  <si>
    <t xml:space="preserve">atp[c] + dudp[c]  &lt;=&gt; adp[c] + dutp[c] </t>
  </si>
  <si>
    <t>NDPK7</t>
  </si>
  <si>
    <t xml:space="preserve">atp[c] + dcdp[c]  &lt;=&gt; adp[c] + dctp[c] </t>
  </si>
  <si>
    <t>NDPK8</t>
  </si>
  <si>
    <t xml:space="preserve">atp[c] + dadp[c]  &lt;=&gt; adp[c] + datp[c] </t>
  </si>
  <si>
    <t>NMNAT</t>
  </si>
  <si>
    <t xml:space="preserve">atp[c] + nmn[c]  &lt;=&gt; nad[c] + ppi[c] </t>
  </si>
  <si>
    <t>NMNDA</t>
  </si>
  <si>
    <t xml:space="preserve">h2o[c] + nmn[c]  &lt;=&gt; nh3[c] + nicrnt[c] </t>
  </si>
  <si>
    <t>NMNN</t>
  </si>
  <si>
    <t xml:space="preserve">h2o[c] + nmn[c]  &lt;=&gt; ncam[c] + r5p[c] </t>
  </si>
  <si>
    <t>NNAM</t>
  </si>
  <si>
    <t xml:space="preserve">h2o[c] + ncam[c]  &lt;=&gt; nac[c] + nh3[c] </t>
  </si>
  <si>
    <t>NNAT</t>
  </si>
  <si>
    <t xml:space="preserve">atp[c] + nicrnt[c]  &lt;=&gt; dnad[c] + ppi[c] </t>
  </si>
  <si>
    <t>NNDMBRT</t>
  </si>
  <si>
    <t xml:space="preserve">dmbzid[c] + nicrnt[c]  &lt;=&gt; 5prdmbz[c] + nac[c] </t>
  </si>
  <si>
    <t>NNDPR</t>
  </si>
  <si>
    <t>NPHS</t>
  </si>
  <si>
    <t xml:space="preserve">sbzcoa[c]  &lt;=&gt; coa[c] + dhna[c] </t>
  </si>
  <si>
    <t>NTD1</t>
  </si>
  <si>
    <t xml:space="preserve">dump[c] + h2o[c]  &lt;=&gt; duri[c] + pi[c] </t>
  </si>
  <si>
    <t>NTD10</t>
  </si>
  <si>
    <t xml:space="preserve">h2o[c] + xmp[c]  &lt;=&gt; pi[c] + xtsn[c] </t>
  </si>
  <si>
    <t>NTD11</t>
  </si>
  <si>
    <t xml:space="preserve">h2o[c] + imp[c]  &lt;=&gt; ins[c] + pi[c] </t>
  </si>
  <si>
    <t>NTD2</t>
  </si>
  <si>
    <t xml:space="preserve">h2o[c] + ump[c]  &lt;=&gt; pi[c] + uri[c] </t>
  </si>
  <si>
    <t>NTD3</t>
  </si>
  <si>
    <t xml:space="preserve">dcmp[c] + h2o[c]  &lt;=&gt; dcyt[c] + pi[c] </t>
  </si>
  <si>
    <t>NTD4</t>
  </si>
  <si>
    <t xml:space="preserve">cmp[c] + h2o[c]  &lt;=&gt; cytd[c] + pi[c] </t>
  </si>
  <si>
    <t>NTD5</t>
  </si>
  <si>
    <t xml:space="preserve">dtmp[c] + h2o[c]  &lt;=&gt; pi[c] + thymd[c] </t>
  </si>
  <si>
    <t>NTD6</t>
  </si>
  <si>
    <t xml:space="preserve">damp[c] + h2o[c]  &lt;=&gt; dad-2[c] + pi[c] </t>
  </si>
  <si>
    <t>NTD7</t>
  </si>
  <si>
    <t xml:space="preserve">amp[c] + h2o[c]  &lt;=&gt; adn[c] + pi[c] </t>
  </si>
  <si>
    <t>NTD8</t>
  </si>
  <si>
    <t xml:space="preserve">dgmp[c] + h2o[c]  &lt;=&gt; dgsn[c] + pi[c] </t>
  </si>
  <si>
    <t>NTD9</t>
  </si>
  <si>
    <t xml:space="preserve">gmp[c] + h2o[c]  &lt;=&gt; gsn[c] + pi[c] </t>
  </si>
  <si>
    <t>NTPP1</t>
  </si>
  <si>
    <t xml:space="preserve">dgtp[c] + h2o[c]  &lt;=&gt; dgmp[c] + ppi[c] </t>
  </si>
  <si>
    <t>NTPP2</t>
  </si>
  <si>
    <t xml:space="preserve">gtp[c] + h2o[c]  &lt;=&gt; gmp[c] + ppi[c] </t>
  </si>
  <si>
    <t>NTPP3</t>
  </si>
  <si>
    <t xml:space="preserve">dctp[c] + h2o[c]  &lt;=&gt; dcmp[c] + ppi[c] </t>
  </si>
  <si>
    <t>NTPP4</t>
  </si>
  <si>
    <t xml:space="preserve">ctp[c] + h2o[c]  &lt;=&gt; cmp[c] + ppi[c] </t>
  </si>
  <si>
    <t>NTPP5</t>
  </si>
  <si>
    <t xml:space="preserve">datp[c] + h2o[c]  &lt;=&gt; damp[c] + ppi[c] </t>
  </si>
  <si>
    <t>NTPP6</t>
  </si>
  <si>
    <t xml:space="preserve">atp[c] + h2o[c]  &lt;=&gt; amp[c] + ppi[c] </t>
  </si>
  <si>
    <t>NTPP7</t>
  </si>
  <si>
    <t xml:space="preserve">dttp[c] + h2o[c]  &lt;=&gt; dtmp[c] + ppi[c] </t>
  </si>
  <si>
    <t>NTPP8</t>
  </si>
  <si>
    <t xml:space="preserve">h2o[c] + utp[c]  &lt;=&gt; ppi[c] + ump[c] </t>
  </si>
  <si>
    <t>NTPTP1</t>
  </si>
  <si>
    <t xml:space="preserve">dgtp[c] + h2o[c]  &lt;=&gt; dgsn[c] + pppi[c] </t>
  </si>
  <si>
    <t>NTPTP2</t>
  </si>
  <si>
    <t xml:space="preserve">gtp[c] + h2o[c]  &lt;=&gt; gsn[c] + pppi[c] </t>
  </si>
  <si>
    <t>NTRIR2x</t>
  </si>
  <si>
    <t xml:space="preserve">(3) nadh[c] + no2[c]  &lt;=&gt; (2) h2o[c] + (3) nad[c] + nh3[c] </t>
  </si>
  <si>
    <t>OBTFL</t>
  </si>
  <si>
    <t xml:space="preserve">2obut[c] + coa[c]  &lt;=&gt; for[c] + ppcoa[c] </t>
  </si>
  <si>
    <t>OCBT</t>
  </si>
  <si>
    <t xml:space="preserve">cbp[c] + orn[c]  &lt;=&gt; citr-L[c] + pi[c] </t>
  </si>
  <si>
    <t>OCTDPS</t>
  </si>
  <si>
    <t xml:space="preserve">frdp[c] + (5) ipdp[c]  &lt;=&gt; octdp[c] + (5) ppi[c] </t>
  </si>
  <si>
    <t>OHPBAT</t>
  </si>
  <si>
    <t xml:space="preserve">glu-L[c] + ohpb[c]  &lt;=&gt; akg[c] + phthr[c] </t>
  </si>
  <si>
    <t>OHPHM</t>
  </si>
  <si>
    <t xml:space="preserve">2ohph[c] + amet[c]  &lt;=&gt; 2omph[c] + ahcys[c] </t>
  </si>
  <si>
    <t>OMBZLM</t>
  </si>
  <si>
    <t xml:space="preserve">2ombzl[c] + amet[c]  &lt;=&gt; 2ommbl[c] + ahcys[c] </t>
  </si>
  <si>
    <t>OMCDC</t>
  </si>
  <si>
    <t>OMMBLHX</t>
  </si>
  <si>
    <t xml:space="preserve">2ommbl[c] + (0.5) o2[c]  &lt;=&gt; 2omhmbl[c] </t>
  </si>
  <si>
    <t>OMPDC</t>
  </si>
  <si>
    <t>OMPHHX</t>
  </si>
  <si>
    <t xml:space="preserve">2omph[c] + (0.5) o2[c]  &lt;=&gt; 2ombzl[c] </t>
  </si>
  <si>
    <t>OP4ENH</t>
  </si>
  <si>
    <t xml:space="preserve">h2o[c] + op4en[c]  &lt;=&gt; 4h2opntn[c] </t>
  </si>
  <si>
    <t>OPHBDC</t>
  </si>
  <si>
    <t>OPHHX</t>
  </si>
  <si>
    <t xml:space="preserve">2oph[c] + (0.5) o2[c]  &lt;=&gt; 2ohph[c] </t>
  </si>
  <si>
    <t>ORNDC</t>
  </si>
  <si>
    <t>ORNTA</t>
  </si>
  <si>
    <t xml:space="preserve">akg[c] + orn[c]  &lt;=&gt; glu5sa[c] + glu-L[c] </t>
  </si>
  <si>
    <t>ORPT</t>
  </si>
  <si>
    <t xml:space="preserve">orot5p[c] + ppi[c]  &lt;=&gt; orot[c] + prpp[c] </t>
  </si>
  <si>
    <t>OXGDC2</t>
  </si>
  <si>
    <t>P5CD</t>
  </si>
  <si>
    <t xml:space="preserve">1pyr5c[c] + (2) h2o[c] + nad[c]  &lt;=&gt; glu-L[c] + nadh[c] </t>
  </si>
  <si>
    <t>P5CR</t>
  </si>
  <si>
    <t xml:space="preserve">1pyr5c[c] + nadph[c]  &lt;=&gt; nadp[c] + pro-L[c] </t>
  </si>
  <si>
    <t>PACCOAL</t>
  </si>
  <si>
    <t xml:space="preserve">atp[c] + coa[c] + pac[c]  &lt;=&gt; amp[c] + phaccoa[c] + ppi[c] </t>
  </si>
  <si>
    <t>PANTS</t>
  </si>
  <si>
    <t xml:space="preserve">ala-B[c] + atp[c] + pant-R[c]  &lt;=&gt; amp[c] + pnto-R[c] + ppi[c] </t>
  </si>
  <si>
    <t>PAPAEC</t>
  </si>
  <si>
    <t xml:space="preserve">h2o[c] + (0.02) paEC[c]  &lt;=&gt; (0.02) 12dgrEC[c] + pi[c] </t>
  </si>
  <si>
    <t>PAPPT3</t>
  </si>
  <si>
    <t xml:space="preserve">udcpp[c] + ugmda[c]  &lt;=&gt; uagmda[c] + ump[c] </t>
  </si>
  <si>
    <t>PAPSR</t>
  </si>
  <si>
    <t xml:space="preserve">paps[c] + trdrd[c]  &lt;=&gt; pap[c] + so3[c] + trdox[c] </t>
  </si>
  <si>
    <t>PASYNEC</t>
  </si>
  <si>
    <t xml:space="preserve">glyc3p[c] + (0.14) hdeACP[c] + (0.04) myrsACP[c] + octeACP[c] + (0.72) palmACP[c] + (0.1) tdeACP[c]  &lt;=&gt; (2) ACP[c] + (0.02) paEC[c] </t>
  </si>
  <si>
    <t>PDH</t>
  </si>
  <si>
    <t>PDX5PO</t>
  </si>
  <si>
    <t xml:space="preserve">o2[c] + pdx5p[c]  &lt;=&gt; h2o2[c] + pydx5p[c] </t>
  </si>
  <si>
    <t>PDX5PS</t>
  </si>
  <si>
    <t>PDXPP</t>
  </si>
  <si>
    <t xml:space="preserve">h2o[c] + pdx5p[c]  &lt;=&gt; pi[c] + pydxn[c] </t>
  </si>
  <si>
    <t>PEAMNO</t>
  </si>
  <si>
    <t xml:space="preserve">h2o[c] + o2[c] + peamn[c]  &lt;=&gt; h2o2[c] + nh3[c] + pacald[c] </t>
  </si>
  <si>
    <t>PEPTEC</t>
  </si>
  <si>
    <t xml:space="preserve">cmp[c] + (0.02) peEC[c]  &lt;=&gt; (0.02) 12dgrEC[c] + cdpea[c] </t>
  </si>
  <si>
    <t>PERD</t>
  </si>
  <si>
    <t xml:space="preserve">4per[c] + nad[c]  &lt;=&gt; nadh[c] + ohpb[c] </t>
  </si>
  <si>
    <t>PFK</t>
  </si>
  <si>
    <t xml:space="preserve">atp[c] + f6p[c]  &lt;=&gt; adp[c] + fdp[c] </t>
  </si>
  <si>
    <t>PFK2</t>
  </si>
  <si>
    <t xml:space="preserve">atp[c] + tag6p-D[c]  &lt;=&gt; adp[c] + tagdp-D[c] </t>
  </si>
  <si>
    <t>PFL</t>
  </si>
  <si>
    <t xml:space="preserve">coa[c] + pyr[c]  &lt;=&gt; accoa[c] + for[c] </t>
  </si>
  <si>
    <t>PGAMT</t>
  </si>
  <si>
    <t xml:space="preserve">gam1p[c]  &lt;=&gt; gam6p[c] </t>
  </si>
  <si>
    <t>PGCD</t>
  </si>
  <si>
    <t xml:space="preserve">3pg[c] + nad[c]  &lt;=&gt; 3php[c] + nadh[c] </t>
  </si>
  <si>
    <t>PGI</t>
  </si>
  <si>
    <t xml:space="preserve">g6p[c]  &lt;=&gt; f6p[c] </t>
  </si>
  <si>
    <t>PGK</t>
  </si>
  <si>
    <t xml:space="preserve">3pg[c] + atp[c]  &lt;=&gt; 13dpg[c] + adp[c] </t>
  </si>
  <si>
    <t>PGL</t>
  </si>
  <si>
    <t xml:space="preserve">6pgl[c] + h2o[c]  &lt;=&gt; 6pgc[c] </t>
  </si>
  <si>
    <t>PGLYCP</t>
  </si>
  <si>
    <t xml:space="preserve">2pglyc[c] + h2o[c]  &lt;=&gt; glyclt[c] + pi[c] </t>
  </si>
  <si>
    <t>PGM</t>
  </si>
  <si>
    <t xml:space="preserve">2pg[c]  &lt;=&gt; 3pg[c] </t>
  </si>
  <si>
    <t>PGMT</t>
  </si>
  <si>
    <t xml:space="preserve">g1p[c]  &lt;=&gt; g6p[c] </t>
  </si>
  <si>
    <t>PGPPEC</t>
  </si>
  <si>
    <t xml:space="preserve">h2o[c] + (0.02) pgpEC[c]  &lt;=&gt; (0.02) pgEC[c] + pi[c] </t>
  </si>
  <si>
    <t>PGSAEC</t>
  </si>
  <si>
    <t xml:space="preserve">(0.02) cdpdag1[c] + glyc3p[c]  &lt;=&gt; cmp[c] + (0.02) pgpEC[c] </t>
  </si>
  <si>
    <t>PHETA1</t>
  </si>
  <si>
    <t xml:space="preserve">akg[c] + phe-L[c]  &lt;=&gt; glu-L[c] + phpyr[c] </t>
  </si>
  <si>
    <t>PLIPA1</t>
  </si>
  <si>
    <t xml:space="preserve">h2o[c] + (0.02) pgEC[c]  &lt;=&gt; (0.02) agpgEC[c] + (0.36) hdca[c] + (0.07) hdcea[c] + (0.5) ocdcea[c] + (0.02) ttdca[c] + (0.05) ttdcea[c] </t>
  </si>
  <si>
    <t>PLIPA2</t>
  </si>
  <si>
    <t xml:space="preserve">h2o[c] + (0.02) peEC[c]  &lt;=&gt; (0.02) agpeEC[c] + (0.36) hdca[c] + (0.07) hdcea[c] + (0.5) ocdcea[c] + (0.02) ttdca[c] + (0.05) ttdcea[c] </t>
  </si>
  <si>
    <t>PLIPA3</t>
  </si>
  <si>
    <t xml:space="preserve">h2o[c] + (0.02) pcEC[c]  &lt;=&gt; (0.02) agpcEC[c] + (0.36) hdca[c] + (0.07) hdcea[c] + (0.5) ocdcea[c] + (0.02) ttdca[c] + (0.05) ttdcea[c] </t>
  </si>
  <si>
    <t>PMANM</t>
  </si>
  <si>
    <t xml:space="preserve">man1p[c]  &lt;=&gt; man6p[c] </t>
  </si>
  <si>
    <t>PMDPHT</t>
  </si>
  <si>
    <t xml:space="preserve">5aprbu[c] + h2o[c]  &lt;=&gt; 4r5au[c] + pi[c] </t>
  </si>
  <si>
    <t>PMPK</t>
  </si>
  <si>
    <t xml:space="preserve">4ampm[c] + atp[c]  &lt;=&gt; 2mahmp[c] + adp[c] </t>
  </si>
  <si>
    <t>PNTK</t>
  </si>
  <si>
    <t xml:space="preserve">atp[c] + pnto-R[c]  &lt;=&gt; 4ppan[c] + adp[c] </t>
  </si>
  <si>
    <t>POX</t>
  </si>
  <si>
    <t>PPA</t>
  </si>
  <si>
    <t xml:space="preserve">h2o[c] + ppi[c]  &lt;=&gt; (2) pi[c] </t>
  </si>
  <si>
    <t>PPAKr</t>
  </si>
  <si>
    <t xml:space="preserve">adp[c] + ppap[c]  &lt;=&gt; atp[c] + ppa[c] </t>
  </si>
  <si>
    <t>PPBNGS</t>
  </si>
  <si>
    <t xml:space="preserve">(2) 5aop[c]  &lt;=&gt; (2) h2o[c] + ppbng[c] </t>
  </si>
  <si>
    <t>PPC</t>
  </si>
  <si>
    <t>PPCDC</t>
  </si>
  <si>
    <t>PPCK</t>
  </si>
  <si>
    <t>PPCSCT</t>
  </si>
  <si>
    <t xml:space="preserve">ppcoa[c] + succ[c]  &lt;=&gt; ppa[c] + succoa[c] </t>
  </si>
  <si>
    <t>PPM</t>
  </si>
  <si>
    <t xml:space="preserve">r1p[c]  &lt;=&gt; r5p[c] </t>
  </si>
  <si>
    <t>PPM2</t>
  </si>
  <si>
    <t xml:space="preserve">2dr1p[c]  &lt;=&gt; 2dr5p[c] </t>
  </si>
  <si>
    <t>PPNCL2</t>
  </si>
  <si>
    <t xml:space="preserve">4ppan[c] + ctp[c] + cys-L[c]  &lt;=&gt; 4ppcys[c] + cmp[c] + ppi[c] </t>
  </si>
  <si>
    <t>PPND</t>
  </si>
  <si>
    <t>PPNDH</t>
  </si>
  <si>
    <t>PPPGO</t>
  </si>
  <si>
    <t xml:space="preserve">(1.5) o2[c] + pppg9[c]  &lt;=&gt; (3) h2o[c] + ppp9[c] </t>
  </si>
  <si>
    <t>PPPNDO</t>
  </si>
  <si>
    <t xml:space="preserve">nadh[c] + o2[c] + pppn[c]  &lt;=&gt; cechddd[c] + nad[c] </t>
  </si>
  <si>
    <t>PPS</t>
  </si>
  <si>
    <t xml:space="preserve">atp[c] + h2o[c] + pyr[c]  &lt;=&gt; amp[c] + pep[c] + pi[c] </t>
  </si>
  <si>
    <t>PPTGS</t>
  </si>
  <si>
    <t xml:space="preserve">uaagmda[c]  &lt;=&gt; peptidoEC[c] + udcpdp[c] </t>
  </si>
  <si>
    <t>PRAGSr</t>
  </si>
  <si>
    <t xml:space="preserve">atp[c] + gly[c] + pram[c]  &lt;=&gt; adp[c] + gar[c] + pi[c] </t>
  </si>
  <si>
    <t>PRAIi</t>
  </si>
  <si>
    <t xml:space="preserve">pran[c]  &lt;=&gt; 2cpr5p[c] </t>
  </si>
  <si>
    <t>PRAIS</t>
  </si>
  <si>
    <t xml:space="preserve">atp[c] + fpram[c]  &lt;=&gt; adp[c] + air[c] + pi[c] </t>
  </si>
  <si>
    <t>PRAMPC</t>
  </si>
  <si>
    <t xml:space="preserve">h2o[c] + prbamp[c]  &lt;=&gt; prfp[c] </t>
  </si>
  <si>
    <t>PRASCS</t>
  </si>
  <si>
    <t xml:space="preserve">5aizc[c] + asp-L[c] + atp[c]  &lt;=&gt; 25aics[c] + adp[c] + pi[c] </t>
  </si>
  <si>
    <t>PRATPP</t>
  </si>
  <si>
    <t xml:space="preserve">h2o[c] + prbatp[c]  &lt;=&gt; ppi[c] + prbamp[c] </t>
  </si>
  <si>
    <t>PRFGS</t>
  </si>
  <si>
    <t xml:space="preserve">atp[c] + fgam[c] + gln-L[c] + h2o[c]  &lt;=&gt; adp[c] + fpram[c] + glu-L[c] + pi[c] </t>
  </si>
  <si>
    <t>PRMICIi</t>
  </si>
  <si>
    <t xml:space="preserve">prfp[c]  &lt;=&gt; prlp[c] </t>
  </si>
  <si>
    <t>PROD2</t>
  </si>
  <si>
    <t xml:space="preserve">fad[c] + pro-L[c]  &lt;=&gt; 1pyr5c[c] + fadh2[c] </t>
  </si>
  <si>
    <t>PRPPS</t>
  </si>
  <si>
    <t xml:space="preserve">atp[c] + r5p[c]  &lt;=&gt; amp[c] + prpp[c] </t>
  </si>
  <si>
    <t>PSCVT</t>
  </si>
  <si>
    <t xml:space="preserve">pep[c] + skm5p[c]  &lt;=&gt; 3psme[c] + pi[c] </t>
  </si>
  <si>
    <t>PSDEC</t>
  </si>
  <si>
    <t>PSERT</t>
  </si>
  <si>
    <t xml:space="preserve">3php[c] + glu-L[c]  &lt;=&gt; akg[c] + pser-L[c] </t>
  </si>
  <si>
    <t>PSPL</t>
  </si>
  <si>
    <t xml:space="preserve">h2o[c] + pser-L[c]  &lt;=&gt; pi[c] + ser-L[c] </t>
  </si>
  <si>
    <t>PSSAEC</t>
  </si>
  <si>
    <t xml:space="preserve">(0.02) cdpdag1[c] + ser-L[c]  &lt;=&gt; cmp[c] + (0.02) psEC[c] </t>
  </si>
  <si>
    <t>PTA2</t>
  </si>
  <si>
    <t xml:space="preserve">pi[c] + ppcoa[c]  &lt;=&gt; coa[c] + ppap[c] </t>
  </si>
  <si>
    <t>PTAr</t>
  </si>
  <si>
    <t xml:space="preserve">accoa[c] + pi[c]  &lt;=&gt; actp[c] + coa[c] </t>
  </si>
  <si>
    <t>PTPATi</t>
  </si>
  <si>
    <t xml:space="preserve">atp[c] + pan4p[c]  &lt;=&gt; dpcoa[c] + ppi[c] </t>
  </si>
  <si>
    <t>PTRCTA</t>
  </si>
  <si>
    <t xml:space="preserve">akg[c] + ptrc[c]  &lt;=&gt; 4abutn[c] + glu-L[c] </t>
  </si>
  <si>
    <t>PUNP1</t>
  </si>
  <si>
    <t xml:space="preserve">adn[c] + pi[c]  &lt;=&gt; ade[c] + r1p[c] </t>
  </si>
  <si>
    <t>PUNP2</t>
  </si>
  <si>
    <t xml:space="preserve">dad-2[c] + pi[c]  &lt;=&gt; 2dr1p[c] + ade[c] </t>
  </si>
  <si>
    <t>PUNP3</t>
  </si>
  <si>
    <t xml:space="preserve">gsn[c] + pi[c]  &lt;=&gt; gua[c] + r1p[c] </t>
  </si>
  <si>
    <t>PUNP4</t>
  </si>
  <si>
    <t xml:space="preserve">dgsn[c] + pi[c]  &lt;=&gt; 2dr1p[c] + gua[c] </t>
  </si>
  <si>
    <t>PUNP5</t>
  </si>
  <si>
    <t xml:space="preserve">ins[c] + pi[c]  &lt;=&gt; hxan[c] + r1p[c] </t>
  </si>
  <si>
    <t>PUNP6</t>
  </si>
  <si>
    <t xml:space="preserve">din[c] + pi[c]  &lt;=&gt; 2dr1p[c] + hxan[c] </t>
  </si>
  <si>
    <t>PUNP7</t>
  </si>
  <si>
    <t xml:space="preserve">pi[c] + xtsn[c]  &lt;=&gt; r1p[c] + xan[c] </t>
  </si>
  <si>
    <t>PYAM5PO</t>
  </si>
  <si>
    <t xml:space="preserve">h2o[c] + o2[c] + pyam5p[c]  &lt;=&gt; h2o2[c] + nh3[c] + pydx5p[c] </t>
  </si>
  <si>
    <t>PYDAMK</t>
  </si>
  <si>
    <t xml:space="preserve">atp[c] + pydam[c]  &lt;=&gt; adp[c] + pyam5p[c] </t>
  </si>
  <si>
    <t>PYDXK</t>
  </si>
  <si>
    <t xml:space="preserve">atp[c] + pydx[c]  &lt;=&gt; adp[c] + pydx5p[c] </t>
  </si>
  <si>
    <t>PYDXNK</t>
  </si>
  <si>
    <t xml:space="preserve">atp[c] + pydxn[c]  &lt;=&gt; adp[c] + pdx5p[c] </t>
  </si>
  <si>
    <t>PYDXPP</t>
  </si>
  <si>
    <t xml:space="preserve">h2o[c] + pydx5p[c]  &lt;=&gt; pi[c] + pydx[c] </t>
  </si>
  <si>
    <t>PYK</t>
  </si>
  <si>
    <t xml:space="preserve">adp[c] + pep[c]  &lt;=&gt; atp[c] + pyr[c] </t>
  </si>
  <si>
    <t>PYNP2r</t>
  </si>
  <si>
    <t xml:space="preserve">pi[c] + uri[c]  &lt;=&gt; r1p[c] + ura[c] </t>
  </si>
  <si>
    <t>QULNS</t>
  </si>
  <si>
    <t xml:space="preserve">dhap[c] + iasp[c]  &lt;=&gt; (2) h2o[c] + pi[c] + quln[c] </t>
  </si>
  <si>
    <t>RBFK</t>
  </si>
  <si>
    <t xml:space="preserve">atp[c] + ribflv[c]  &lt;=&gt; adp[c] + fmn[c] </t>
  </si>
  <si>
    <t>RBFSa</t>
  </si>
  <si>
    <t xml:space="preserve">4r5au[c] + db4p[c]  &lt;=&gt; dmlz[c] + (2) h2o[c] + pi[c] </t>
  </si>
  <si>
    <t>RBFSb</t>
  </si>
  <si>
    <t xml:space="preserve">(2) dmlz[c]  &lt;=&gt; 4r5au[c] + ribflv[c] </t>
  </si>
  <si>
    <t>RBK</t>
  </si>
  <si>
    <t xml:space="preserve">atp[c] + rib-D[c]  &lt;=&gt; adp[c] + r5p[c] </t>
  </si>
  <si>
    <t>RBKL1</t>
  </si>
  <si>
    <t xml:space="preserve">atp[c] + rbl-L[c]  &lt;=&gt; adp[c] + ru5p-L[c] </t>
  </si>
  <si>
    <t>RBP4E</t>
  </si>
  <si>
    <t xml:space="preserve">ru5p-L[c]  &lt;=&gt; xu5p-D[c] </t>
  </si>
  <si>
    <t>RHCCE</t>
  </si>
  <si>
    <t xml:space="preserve">rhcys[c]  &lt;=&gt; dhptd[c] + hcys-L[c] </t>
  </si>
  <si>
    <t>RMI</t>
  </si>
  <si>
    <t xml:space="preserve">rmn[c]  &lt;=&gt; rml[c] </t>
  </si>
  <si>
    <t>RMK</t>
  </si>
  <si>
    <t xml:space="preserve">atp[c] + rml[c]  &lt;=&gt; adp[c] + rml1p[c] </t>
  </si>
  <si>
    <t>RMPA</t>
  </si>
  <si>
    <t xml:space="preserve">rml1p[c]  &lt;=&gt; dhap[c] + lald-L[c] </t>
  </si>
  <si>
    <t>RNDR1</t>
  </si>
  <si>
    <t xml:space="preserve">adp[c] + trdrd[c]  &lt;=&gt; dadp[c] + h2o[c] + trdox[c] </t>
  </si>
  <si>
    <t>RNDR2</t>
  </si>
  <si>
    <t xml:space="preserve">gdp[c] + trdrd[c]  &lt;=&gt; dgdp[c] + h2o[c] + trdox[c] </t>
  </si>
  <si>
    <t>RNDR3</t>
  </si>
  <si>
    <t xml:space="preserve">cdp[c] + trdrd[c]  &lt;=&gt; dcdp[c] + h2o[c] + trdox[c] </t>
  </si>
  <si>
    <t>RNDR4</t>
  </si>
  <si>
    <t xml:space="preserve">trdrd[c] + udp[c]  &lt;=&gt; dudp[c] + h2o[c] + trdox[c] </t>
  </si>
  <si>
    <t>RNTR1</t>
  </si>
  <si>
    <t xml:space="preserve">atp[c] + trdrd[c]  &lt;=&gt; datp[c] + h2o[c] + trdox[c] </t>
  </si>
  <si>
    <t>RNTR2</t>
  </si>
  <si>
    <t xml:space="preserve">gtp[c] + trdrd[c]  &lt;=&gt; dgtp[c] + h2o[c] + trdox[c] </t>
  </si>
  <si>
    <t>RNTR3</t>
  </si>
  <si>
    <t xml:space="preserve">ctp[c] + trdrd[c]  &lt;=&gt; dctp[c] + h2o[c] + trdox[c] </t>
  </si>
  <si>
    <t>RNTR4</t>
  </si>
  <si>
    <t xml:space="preserve">trdrd[c] + utp[c]  &lt;=&gt; dutp[c] + h2o[c] + trdox[c] </t>
  </si>
  <si>
    <t>RPE</t>
  </si>
  <si>
    <t xml:space="preserve">ru5p-D[c]  &lt;=&gt; xu5p-D[c] </t>
  </si>
  <si>
    <t>RPI</t>
  </si>
  <si>
    <t xml:space="preserve">r5p[c]  &lt;=&gt; ru5p-D[c] </t>
  </si>
  <si>
    <t>RZ5PP</t>
  </si>
  <si>
    <t xml:space="preserve">5prdmbz[c] + h2o[c]  &lt;=&gt; pi[c] + rdmbzi[c] </t>
  </si>
  <si>
    <t>S7PI</t>
  </si>
  <si>
    <t xml:space="preserve">s7p[c]  &lt;=&gt; gmhep7p[c] </t>
  </si>
  <si>
    <t>SADH</t>
  </si>
  <si>
    <t>SADT2</t>
  </si>
  <si>
    <t xml:space="preserve">atp[c] + gtp[c] + h2o[c] + so4[c]  &lt;=&gt; aps[c] + gdp[c] + pi[c] + ppi[c] </t>
  </si>
  <si>
    <t>SBTPD</t>
  </si>
  <si>
    <t xml:space="preserve">nad[c] + sbt6p[c]  &lt;=&gt; f6p[c] + nadh[c] </t>
  </si>
  <si>
    <t>SDPDS</t>
  </si>
  <si>
    <t xml:space="preserve">h2o[c] + sl26da[c]  &lt;=&gt; 26dap-LL[c] + succ[c] </t>
  </si>
  <si>
    <t>SDPTA</t>
  </si>
  <si>
    <t xml:space="preserve">akg[c] + sl26da[c]  &lt;=&gt; glu-L[c] + sl2a6o[c] </t>
  </si>
  <si>
    <t>SELNPS</t>
  </si>
  <si>
    <t xml:space="preserve">atp[c] + h2o[c] + seln[c]  &lt;=&gt; amp[c] + pi[c] + selnp[c] </t>
  </si>
  <si>
    <t>SERASr</t>
  </si>
  <si>
    <t xml:space="preserve">atp[c] + ser-L[c]  &lt;=&gt; ppi[c] + seramp[c] </t>
  </si>
  <si>
    <t>SERAT</t>
  </si>
  <si>
    <t xml:space="preserve">accoa[c] + ser-L[c]  &lt;=&gt; acser[c] + coa[c] </t>
  </si>
  <si>
    <t>SERDD</t>
  </si>
  <si>
    <t xml:space="preserve">ser-D[c]  &lt;=&gt; nh3[c] + pyr[c] </t>
  </si>
  <si>
    <t>SERDL</t>
  </si>
  <si>
    <t xml:space="preserve">ser-L[c]  &lt;=&gt; nh3[c] + pyr[c] </t>
  </si>
  <si>
    <t>SGDS</t>
  </si>
  <si>
    <t xml:space="preserve">h2o[c] + sucglu[c]  &lt;=&gt; glu-L[c] + succ[c] </t>
  </si>
  <si>
    <t>SGSAD</t>
  </si>
  <si>
    <t xml:space="preserve">h2o[c] + nad[c] + sucgsa[c]  &lt;=&gt; nadh[c] + sucglu[c] </t>
  </si>
  <si>
    <t>SHCHCS2</t>
  </si>
  <si>
    <t xml:space="preserve">ichor[c] + ssaltpp[c]  &lt;=&gt; 2shchc[c] + pyr[c] + thmpp[c] </t>
  </si>
  <si>
    <t>SHCHD2</t>
  </si>
  <si>
    <t xml:space="preserve">nad[c] + scl[c]  &lt;=&gt; nadh[c] + srch[c] </t>
  </si>
  <si>
    <t>SHCHF</t>
  </si>
  <si>
    <t xml:space="preserve">fe2[c] + srch[c]  &lt;=&gt; sheme[c] </t>
  </si>
  <si>
    <t>SHK3Dr</t>
  </si>
  <si>
    <t xml:space="preserve">3dhsk[c] + nadph[c]  &lt;=&gt; nadp[c] + skm[c] </t>
  </si>
  <si>
    <t>SHKK</t>
  </si>
  <si>
    <t xml:space="preserve">atp[c] + skm[c]  &lt;=&gt; adp[c] + skm5p[c] </t>
  </si>
  <si>
    <t>SHSL1</t>
  </si>
  <si>
    <t xml:space="preserve">cys-L[c] + suchms[c]  &lt;=&gt; cyst-L[c] + succ[c] </t>
  </si>
  <si>
    <t>SOTA</t>
  </si>
  <si>
    <t xml:space="preserve">akg[c] + sucorn[c]  &lt;=&gt; glu-L[c] + sucgsa[c] </t>
  </si>
  <si>
    <t>SPMDAT1</t>
  </si>
  <si>
    <t xml:space="preserve">accoa[c] + spmd[c]  &lt;=&gt; coa[c] + N1aspmd[c] </t>
  </si>
  <si>
    <t>SPMDAT2</t>
  </si>
  <si>
    <t xml:space="preserve">accoa[c] + spmd[c]  &lt;=&gt; coa[c] + n8aspmd[c] </t>
  </si>
  <si>
    <t>SPMS</t>
  </si>
  <si>
    <t xml:space="preserve">ametam[c] + ptrc[c]  &lt;=&gt; 5mta[c] + spmd[c] </t>
  </si>
  <si>
    <t>SPODM</t>
  </si>
  <si>
    <t>SSALx</t>
  </si>
  <si>
    <t xml:space="preserve">h2o[c] + nad[c] + sucsal[c]  &lt;=&gt; nadh[c] + succ[c] </t>
  </si>
  <si>
    <t>SSALy</t>
  </si>
  <si>
    <t xml:space="preserve">h2o[c] + nadp[c] + sucsal[c]  &lt;=&gt; nadph[c] + succ[c] </t>
  </si>
  <si>
    <t>SUCBZL</t>
  </si>
  <si>
    <t xml:space="preserve">atp[c] + coa[c] + sucbz[c]  &lt;=&gt; amp[c] + ppi[c] + sbzcoa[c] </t>
  </si>
  <si>
    <t>SUCBZS</t>
  </si>
  <si>
    <t xml:space="preserve">2shchc[c]  &lt;=&gt; h2o[c] + sucbz[c] </t>
  </si>
  <si>
    <t>SUCD1i</t>
  </si>
  <si>
    <t xml:space="preserve">fad[c] + succ[c]  &lt;=&gt; fadh2[c] + fum[c] </t>
  </si>
  <si>
    <t>SUCD4</t>
  </si>
  <si>
    <t xml:space="preserve">fadh2[c] + q8[c]  &lt;=&gt; fad[c] + q8h2[c] </t>
  </si>
  <si>
    <t>SUCOAS</t>
  </si>
  <si>
    <t xml:space="preserve">atp[c] + coa[c] + succ[c]  &lt;=&gt; adp[c] + pi[c] + succoa[c] </t>
  </si>
  <si>
    <t>SULR</t>
  </si>
  <si>
    <t xml:space="preserve">(3) h2o[c] + h2s[c] + (3) nadp[c]  &lt;=&gt; (3) nadph[c] + so3[c] </t>
  </si>
  <si>
    <t>TAGURr</t>
  </si>
  <si>
    <t xml:space="preserve">altrn[c] + nad[c]  &lt;=&gt; nadh[c] + tagur[c] </t>
  </si>
  <si>
    <t>TALA</t>
  </si>
  <si>
    <t xml:space="preserve">g3p[c] + s7p[c]  &lt;=&gt; e4p[c] + f6p[c] </t>
  </si>
  <si>
    <t>TARTD</t>
  </si>
  <si>
    <t xml:space="preserve">tartr-L[c]  &lt;=&gt; h2o[c] + oaa[c] </t>
  </si>
  <si>
    <t>TAUDO</t>
  </si>
  <si>
    <t>TDPADGAT</t>
  </si>
  <si>
    <t xml:space="preserve">accoa[c] + dtdp4addg[c]  &lt;=&gt; coa[c] + dtdp4aaddg[c] </t>
  </si>
  <si>
    <t>TDPAGTA</t>
  </si>
  <si>
    <t xml:space="preserve">dtdp4d6dg[c] + glu-L[c]  &lt;=&gt; akg[c] + dtdp4addg[c] </t>
  </si>
  <si>
    <t>TDPDRE</t>
  </si>
  <si>
    <t xml:space="preserve">dtdp4d6dg[c]  &lt;=&gt; dtdp4d6dm[c] </t>
  </si>
  <si>
    <t>TDPDRR</t>
  </si>
  <si>
    <t xml:space="preserve">dtdp4d6dm[c] + nadph[c]  &lt;=&gt; dtdprmn[c] + nadp[c] </t>
  </si>
  <si>
    <t>TDPGDH</t>
  </si>
  <si>
    <t xml:space="preserve">dtdpglu[c]  &lt;=&gt; dtdp4d6dg[c] + h2o[c] </t>
  </si>
  <si>
    <t>TDSK</t>
  </si>
  <si>
    <t xml:space="preserve">atp[c] + lipidAds[c]  &lt;=&gt; adp[c] + lipidA[c] </t>
  </si>
  <si>
    <t>TESTAKGDH</t>
  </si>
  <si>
    <t>TESTNADTRHD</t>
  </si>
  <si>
    <t xml:space="preserve">nad[c] + nadph[c]  &lt;=&gt; nadh[c] + nadp[c] </t>
  </si>
  <si>
    <t>TGBPA</t>
  </si>
  <si>
    <t xml:space="preserve">tagdp-D[c]  &lt;=&gt; dhap[c] + g3p[c] </t>
  </si>
  <si>
    <t>THDPS</t>
  </si>
  <si>
    <t xml:space="preserve">h2o[c] + succoa[c] + thdp[c]  &lt;=&gt; coa[c] + sl2a6o[c] </t>
  </si>
  <si>
    <t>THRAr</t>
  </si>
  <si>
    <t xml:space="preserve">thr-L[c]  &lt;=&gt; acald[c] + gly[c] </t>
  </si>
  <si>
    <t>THRD</t>
  </si>
  <si>
    <t xml:space="preserve">nad[c] + thr-L[c]  &lt;=&gt; 2aobut[c] + nadh[c] </t>
  </si>
  <si>
    <t>THRDL</t>
  </si>
  <si>
    <t xml:space="preserve">thr-L[c]  &lt;=&gt; 2obut[c] + nh3[c] </t>
  </si>
  <si>
    <t>THRS</t>
  </si>
  <si>
    <t xml:space="preserve">h2o[c] + phom[c]  &lt;=&gt; pi[c] + thr-L[c] </t>
  </si>
  <si>
    <t>THZPSN</t>
  </si>
  <si>
    <t>TKT1</t>
  </si>
  <si>
    <t xml:space="preserve">r5p[c] + xu5p-D[c]  &lt;=&gt; g3p[c] + s7p[c] </t>
  </si>
  <si>
    <t>TKT2</t>
  </si>
  <si>
    <t xml:space="preserve">e4p[c] + xu5p-D[c]  &lt;=&gt; f6p[c] + g3p[c] </t>
  </si>
  <si>
    <t>TMAOR1</t>
  </si>
  <si>
    <t xml:space="preserve">mql8[c] + tmao[c]  &lt;=&gt; h2o[c] + mqn8[c] + tma[c] </t>
  </si>
  <si>
    <t>TMAOR2</t>
  </si>
  <si>
    <t xml:space="preserve">2dmmql8[c] + tmao[c]  &lt;=&gt; 2dmmq8[c] + h2o[c] + tma[c] </t>
  </si>
  <si>
    <t>TMDK1</t>
  </si>
  <si>
    <t xml:space="preserve">atp[c] + thymd[c]  &lt;=&gt; adp[c] + dtmp[c] </t>
  </si>
  <si>
    <t>TMDPP</t>
  </si>
  <si>
    <t xml:space="preserve">pi[c] + thymd[c]  &lt;=&gt; 2dr1p[c] + thym[c] </t>
  </si>
  <si>
    <t>TMDS</t>
  </si>
  <si>
    <t xml:space="preserve">dump[c] + mlthf[c]  &lt;=&gt; dhf[c] + dtmp[c] </t>
  </si>
  <si>
    <t>TMKr</t>
  </si>
  <si>
    <t xml:space="preserve">atp[c] + thm[c]  &lt;=&gt; adp[c] + thmmp[c] </t>
  </si>
  <si>
    <t>TMPKr</t>
  </si>
  <si>
    <t xml:space="preserve">atp[c] + thmmp[c]  &lt;=&gt; adp[c] + thmpp[c] </t>
  </si>
  <si>
    <t>TMPPP</t>
  </si>
  <si>
    <t xml:space="preserve">2mahmp[c] + 4mpetz[c]  &lt;=&gt; ppi[c] + thmmp[c] </t>
  </si>
  <si>
    <t>TPI</t>
  </si>
  <si>
    <t xml:space="preserve">dhap[c]  &lt;=&gt; g3p[c] </t>
  </si>
  <si>
    <t>TRDR</t>
  </si>
  <si>
    <t xml:space="preserve">nadph[c] + trdox[c]  &lt;=&gt; nadp[c] + trdrd[c] </t>
  </si>
  <si>
    <t>TRE6PH</t>
  </si>
  <si>
    <t xml:space="preserve">h2o[c] + tre6p[c]  &lt;=&gt; g6p[c] + glc-D[c] </t>
  </si>
  <si>
    <t>TRE6PP</t>
  </si>
  <si>
    <t xml:space="preserve">h2o[c] + tre6p[c]  &lt;=&gt; pi[c] + tre[c] </t>
  </si>
  <si>
    <t>TRE6PS</t>
  </si>
  <si>
    <t xml:space="preserve">g6p[c] + udpg[c]  &lt;=&gt; tre6p[c] + udp[c] </t>
  </si>
  <si>
    <t>TREH</t>
  </si>
  <si>
    <t xml:space="preserve">h2o[c] + tre[c]  &lt;=&gt; (2) glc-D[c] </t>
  </si>
  <si>
    <t>TRPAS1</t>
  </si>
  <si>
    <t xml:space="preserve">cys-L[c] + h2o[c]  &lt;=&gt; h2s[c] + nh3[c] + pyr[c] </t>
  </si>
  <si>
    <t>TRPAS2</t>
  </si>
  <si>
    <t xml:space="preserve">h2o[c] + trp-L[c]  &lt;=&gt; indole[c] + nh3[c] + pyr[c] </t>
  </si>
  <si>
    <t>TRPS1</t>
  </si>
  <si>
    <t xml:space="preserve">3ig3p[c] + ser-L[c]  &lt;=&gt; g3p[c] + h2o[c] + trp-L[c] </t>
  </si>
  <si>
    <t>TRPS2</t>
  </si>
  <si>
    <t xml:space="preserve">indole[c] + ser-L[c]  &lt;=&gt; h2o[c] + trp-L[c] </t>
  </si>
  <si>
    <t>TRPS3</t>
  </si>
  <si>
    <t xml:space="preserve">3ig3p[c]  &lt;=&gt; g3p[c] + indole[c] </t>
  </si>
  <si>
    <t>TRSAR</t>
  </si>
  <si>
    <t xml:space="preserve">2h3oppan[c] + nadh[c]  &lt;=&gt; glyc-R[c] + nad[c] </t>
  </si>
  <si>
    <t>TYRTA</t>
  </si>
  <si>
    <t xml:space="preserve">akg[c] + tyr-L[c]  &lt;=&gt; 34hpp[c] + glu-L[c] </t>
  </si>
  <si>
    <t>U23GAAT</t>
  </si>
  <si>
    <t xml:space="preserve">3hmrsACP[c] + u3hga[c]  &lt;=&gt; ACP[c] + u23ga[c] </t>
  </si>
  <si>
    <t>UAAGDS</t>
  </si>
  <si>
    <t xml:space="preserve">26dap-M[c] + atp[c] + uamag[c]  &lt;=&gt; adp[c] + pi[c] + ugmd[c] </t>
  </si>
  <si>
    <t>UACMAMO</t>
  </si>
  <si>
    <t xml:space="preserve">h2o[c] + (2) nad[c] + uacmam[c]  &lt;=&gt; (2) nadh[c] + uacmamu[c] </t>
  </si>
  <si>
    <t>UAG2Ei</t>
  </si>
  <si>
    <t xml:space="preserve">uacgam[c]  &lt;=&gt; uacmam[c] </t>
  </si>
  <si>
    <t>UAGAAT</t>
  </si>
  <si>
    <t xml:space="preserve">3hmrsACP[c] + uacgam[c]  &lt;=&gt; ACP[c] + u3aga[c] </t>
  </si>
  <si>
    <t>UAGCVT</t>
  </si>
  <si>
    <t xml:space="preserve">pep[c] + uacgam[c]  &lt;=&gt; pi[c] + uaccg[c] </t>
  </si>
  <si>
    <t>UAGDP</t>
  </si>
  <si>
    <t xml:space="preserve">acgam1p[c] + utp[c]  &lt;=&gt; ppi[c] + uacgam[c] </t>
  </si>
  <si>
    <t>UAGPT3</t>
  </si>
  <si>
    <t xml:space="preserve">uacgam[c] + uagmda[c]  &lt;=&gt; uaagmda[c] + udp[c] </t>
  </si>
  <si>
    <t>UAMAGS</t>
  </si>
  <si>
    <t xml:space="preserve">atp[c] + glu-D[c] + uama[c]  &lt;=&gt; adp[c] + pi[c] + uamag[c] </t>
  </si>
  <si>
    <t>UAMAS</t>
  </si>
  <si>
    <t xml:space="preserve">ala-L[c] + atp[c] + uamr[c]  &lt;=&gt; adp[c] + pi[c] + uama[c] </t>
  </si>
  <si>
    <t>UAPGR</t>
  </si>
  <si>
    <t xml:space="preserve">nadph[c] + uaccg[c]  &lt;=&gt; nadp[c] + uamr[c] </t>
  </si>
  <si>
    <t>UDCPDP</t>
  </si>
  <si>
    <t xml:space="preserve">h2o[c] + udcpdp[c]  &lt;=&gt; pi[c] + udcpp[c] </t>
  </si>
  <si>
    <t>UDCPDPS</t>
  </si>
  <si>
    <t xml:space="preserve">frdp[c] + (8) ipdp[c]  &lt;=&gt; (8) ppi[c] + udcpdp[c] </t>
  </si>
  <si>
    <t>UDPG4E</t>
  </si>
  <si>
    <t xml:space="preserve">udpg[c]  &lt;=&gt; udpgal[c] </t>
  </si>
  <si>
    <t>UDPGALM</t>
  </si>
  <si>
    <t xml:space="preserve">udpgal[c]  &lt;=&gt; udpgalfur[c] </t>
  </si>
  <si>
    <t>UDPGD</t>
  </si>
  <si>
    <t xml:space="preserve">h2o[c] + (2) nad[c] + udpg[c]  &lt;=&gt; (2) nadh[c] + udpglcur[c] </t>
  </si>
  <si>
    <t>UGLT</t>
  </si>
  <si>
    <t xml:space="preserve">gal1p[c] + udpg[c]  &lt;=&gt; g1p[c] + udpgal[c] </t>
  </si>
  <si>
    <t>UGLYCH</t>
  </si>
  <si>
    <t>UGMDDS</t>
  </si>
  <si>
    <t xml:space="preserve">alaala[c] + atp[c] + ugmd[c]  &lt;=&gt; adp[c] + pi[c] + ugmda[c] </t>
  </si>
  <si>
    <t>UHGADA</t>
  </si>
  <si>
    <t xml:space="preserve">h2o[c] + u3aga[c]  &lt;=&gt; ac[c] + u3hga[c] </t>
  </si>
  <si>
    <t>UMPK</t>
  </si>
  <si>
    <t xml:space="preserve">atp[c] + ump[c]  &lt;=&gt; adp[c] + udp[c] </t>
  </si>
  <si>
    <t>UNK3</t>
  </si>
  <si>
    <t xml:space="preserve">2kmb[c] + glu-L[c]  &lt;=&gt; akg[c] + met-L[c] </t>
  </si>
  <si>
    <t>UPP3MT</t>
  </si>
  <si>
    <t xml:space="preserve">(2) amet[c] + uppg3[c]  &lt;=&gt; (2) ahcys[c] + scl[c] </t>
  </si>
  <si>
    <t>UPP3S</t>
  </si>
  <si>
    <t xml:space="preserve">hmbil[c]  &lt;=&gt; h2o[c] + uppg3[c] </t>
  </si>
  <si>
    <t>UPPDC1</t>
  </si>
  <si>
    <t>UPPRT</t>
  </si>
  <si>
    <t xml:space="preserve">prpp[c] + ura[c]  &lt;=&gt; ppi[c] + ump[c] </t>
  </si>
  <si>
    <t>URIDK2r</t>
  </si>
  <si>
    <t xml:space="preserve">atp[c] + dump[c]  &lt;=&gt; adp[c] + dudp[c] </t>
  </si>
  <si>
    <t>URIK2</t>
  </si>
  <si>
    <t xml:space="preserve">gtp[c] + uri[c]  &lt;=&gt; gdp[c] + ump[c] </t>
  </si>
  <si>
    <t>USHD</t>
  </si>
  <si>
    <t xml:space="preserve">h2o[c] + u23ga[c]  &lt;=&gt; lipidX[c] + ump[c] </t>
  </si>
  <si>
    <t>VALTA</t>
  </si>
  <si>
    <t xml:space="preserve">akg[c] + val-L[c]  &lt;=&gt; 3mob[c] + glu-L[c] </t>
  </si>
  <si>
    <t>VPAMT</t>
  </si>
  <si>
    <t xml:space="preserve">3mob[c] + ala-L[c]  &lt;=&gt; pyr[c] + val-L[c] </t>
  </si>
  <si>
    <t>X5PL3E</t>
  </si>
  <si>
    <t xml:space="preserve">xu5p-L[c]  &lt;=&gt; ru5p-L[c] </t>
  </si>
  <si>
    <t>XPPT</t>
  </si>
  <si>
    <t xml:space="preserve">prpp[c] + xan[c]  &lt;=&gt; ppi[c] + xmp[c] </t>
  </si>
  <si>
    <t>XYLI1</t>
  </si>
  <si>
    <t xml:space="preserve">xyl-D[c]  &lt;=&gt; xylu-D[c] </t>
  </si>
  <si>
    <t>XYLI2i</t>
  </si>
  <si>
    <t xml:space="preserve">fru[c]  &lt;=&gt; glc-D[c] </t>
  </si>
  <si>
    <t>XYLK</t>
  </si>
  <si>
    <t xml:space="preserve">atp[c] + xylu-D[c]  &lt;=&gt; adp[c] + xu5p-D[c] </t>
  </si>
  <si>
    <t>NADDPe</t>
  </si>
  <si>
    <t xml:space="preserve">h2o[e] + nad[e]  &lt;=&gt; amp[e] + nmn[e] </t>
  </si>
  <si>
    <t>TREHe</t>
  </si>
  <si>
    <t xml:space="preserve">h2o[e] + tre[e]  &lt;=&gt; (2) glc-D[e] </t>
  </si>
  <si>
    <t>EX_12ppd-S</t>
  </si>
  <si>
    <t xml:space="preserve">12ppd-S[e]  &lt;=&gt; </t>
  </si>
  <si>
    <t>EX_15dap</t>
  </si>
  <si>
    <t xml:space="preserve">15dap[e]  &lt;=&gt; </t>
  </si>
  <si>
    <t>EX_26dap-M</t>
  </si>
  <si>
    <t xml:space="preserve">26dap-M[e]  &lt;=&gt; </t>
  </si>
  <si>
    <t>EX_2ddglcn</t>
  </si>
  <si>
    <t xml:space="preserve">2ddglcn[e]  &lt;=&gt; </t>
  </si>
  <si>
    <t>EX_3hcinnm</t>
  </si>
  <si>
    <t xml:space="preserve">3hcinnm[e]  &lt;=&gt; </t>
  </si>
  <si>
    <t>EX_3hpppn</t>
  </si>
  <si>
    <t xml:space="preserve">3hpppn[e]  &lt;=&gt; </t>
  </si>
  <si>
    <t>EX_4abut</t>
  </si>
  <si>
    <t xml:space="preserve">4abut[e]  &lt;=&gt; </t>
  </si>
  <si>
    <t>EX_ac</t>
  </si>
  <si>
    <t xml:space="preserve">ac[e]  &lt;=&gt; </t>
  </si>
  <si>
    <t>EX_acac</t>
  </si>
  <si>
    <t xml:space="preserve">acac[e]  &lt;=&gt; </t>
  </si>
  <si>
    <t>EX_acald</t>
  </si>
  <si>
    <t xml:space="preserve">acald[e]  &lt;=&gt; </t>
  </si>
  <si>
    <t>EX_acgam</t>
  </si>
  <si>
    <t xml:space="preserve">acgam[e]  &lt;=&gt; </t>
  </si>
  <si>
    <t>EX_acmana</t>
  </si>
  <si>
    <t xml:space="preserve">acmana[e]  &lt;=&gt; </t>
  </si>
  <si>
    <t>EX_acnam</t>
  </si>
  <si>
    <t xml:space="preserve">acnam[e]  &lt;=&gt; </t>
  </si>
  <si>
    <t>EX_ade</t>
  </si>
  <si>
    <t xml:space="preserve">ade[e]  &lt;=&gt; </t>
  </si>
  <si>
    <t>EX_adn</t>
  </si>
  <si>
    <t xml:space="preserve">adn[e]  &lt;=&gt; </t>
  </si>
  <si>
    <t>EX_akg</t>
  </si>
  <si>
    <t xml:space="preserve">akg[e]  &lt;=&gt; </t>
  </si>
  <si>
    <t>EX_ala-D</t>
  </si>
  <si>
    <t xml:space="preserve">ala-D[e]  &lt;=&gt; </t>
  </si>
  <si>
    <t>EX_ala-L</t>
  </si>
  <si>
    <t xml:space="preserve">ala-L[e]  &lt;=&gt; </t>
  </si>
  <si>
    <t>EX_alltn</t>
  </si>
  <si>
    <t xml:space="preserve">alltn[e]  &lt;=&gt; </t>
  </si>
  <si>
    <t>EX_amp</t>
  </si>
  <si>
    <t xml:space="preserve">amp[e]  &lt;=&gt; </t>
  </si>
  <si>
    <t>EX_arab-L</t>
  </si>
  <si>
    <t xml:space="preserve">arab-L[e]  &lt;=&gt; </t>
  </si>
  <si>
    <t>EX_arg-L</t>
  </si>
  <si>
    <t xml:space="preserve">arg-L[e]  &lt;=&gt; </t>
  </si>
  <si>
    <t>EX_asn-L</t>
  </si>
  <si>
    <t xml:space="preserve">asn-L[e]  &lt;=&gt; </t>
  </si>
  <si>
    <t>EX_asp-L</t>
  </si>
  <si>
    <t xml:space="preserve">asp-L[e]  &lt;=&gt; </t>
  </si>
  <si>
    <t>EX_but</t>
  </si>
  <si>
    <t xml:space="preserve">but[e]  &lt;=&gt; </t>
  </si>
  <si>
    <t>EX_cbl1</t>
  </si>
  <si>
    <t xml:space="preserve">cbl1[e]  &lt;=&gt; </t>
  </si>
  <si>
    <t>EX_chol</t>
  </si>
  <si>
    <t xml:space="preserve">chol[e]  &lt;=&gt; </t>
  </si>
  <si>
    <t>EX_cit</t>
  </si>
  <si>
    <t xml:space="preserve">cit[e]  &lt;=&gt; </t>
  </si>
  <si>
    <t>EX_co2</t>
  </si>
  <si>
    <t xml:space="preserve">co2tot[e]  &lt;=&gt; </t>
  </si>
  <si>
    <t>EX_crn</t>
  </si>
  <si>
    <t xml:space="preserve">crn[e]  &lt;=&gt; </t>
  </si>
  <si>
    <t>EX_csn</t>
  </si>
  <si>
    <t xml:space="preserve">csn[e]  &lt;=&gt; </t>
  </si>
  <si>
    <t>EX_cynt</t>
  </si>
  <si>
    <t xml:space="preserve">cynt[e]  &lt;=&gt; </t>
  </si>
  <si>
    <t>EX_cys-L</t>
  </si>
  <si>
    <t xml:space="preserve">cys-L[e]  &lt;=&gt; </t>
  </si>
  <si>
    <t>EX_cytd</t>
  </si>
  <si>
    <t xml:space="preserve">cytd[e]  &lt;=&gt; </t>
  </si>
  <si>
    <t>EX_dad-2</t>
  </si>
  <si>
    <t xml:space="preserve">dad-2[e]  &lt;=&gt; </t>
  </si>
  <si>
    <t>EX_dcyt</t>
  </si>
  <si>
    <t xml:space="preserve">dcyt[e]  &lt;=&gt; </t>
  </si>
  <si>
    <t>EX_dgsn</t>
  </si>
  <si>
    <t xml:space="preserve">dgsn[e]  &lt;=&gt; </t>
  </si>
  <si>
    <t>EX_dha</t>
  </si>
  <si>
    <t xml:space="preserve">dha[e]  &lt;=&gt; </t>
  </si>
  <si>
    <t>EX_din</t>
  </si>
  <si>
    <t xml:space="preserve">din[e]  &lt;=&gt; </t>
  </si>
  <si>
    <t>EX_dms</t>
  </si>
  <si>
    <t xml:space="preserve">dms[e]  &lt;=&gt; </t>
  </si>
  <si>
    <t>EX_dmso</t>
  </si>
  <si>
    <t xml:space="preserve">dmso[e]  &lt;=&gt; </t>
  </si>
  <si>
    <t>EX_duri</t>
  </si>
  <si>
    <t xml:space="preserve">duri[e]  &lt;=&gt; </t>
  </si>
  <si>
    <t>EX_etoh</t>
  </si>
  <si>
    <t xml:space="preserve">etoh[e]  &lt;=&gt; </t>
  </si>
  <si>
    <t>EX_fe2</t>
  </si>
  <si>
    <t xml:space="preserve">fe2[e]  &lt;=&gt; </t>
  </si>
  <si>
    <t>EX_for</t>
  </si>
  <si>
    <t xml:space="preserve">for[e]  &lt;=&gt; </t>
  </si>
  <si>
    <t>EX_fru</t>
  </si>
  <si>
    <t xml:space="preserve">fru[e]  &lt;=&gt; </t>
  </si>
  <si>
    <t>EX_fuc1p-L</t>
  </si>
  <si>
    <t xml:space="preserve">fuc1p-L[e]  &lt;=&gt; </t>
  </si>
  <si>
    <t>EX_fuc-L</t>
  </si>
  <si>
    <t xml:space="preserve">fuc-L[e]  &lt;=&gt; </t>
  </si>
  <si>
    <t>EX_fum</t>
  </si>
  <si>
    <t xml:space="preserve">fum[e]  &lt;=&gt; </t>
  </si>
  <si>
    <t>EX_g6p</t>
  </si>
  <si>
    <t xml:space="preserve">g6p[e]  &lt;=&gt; </t>
  </si>
  <si>
    <t>EX_gal</t>
  </si>
  <si>
    <t xml:space="preserve">gal[e]  &lt;=&gt; </t>
  </si>
  <si>
    <t>EX_galct-D</t>
  </si>
  <si>
    <t xml:space="preserve">galct-D[e]  &lt;=&gt; </t>
  </si>
  <si>
    <t>EX_galctn-D</t>
  </si>
  <si>
    <t xml:space="preserve">galctn-D[e]  &lt;=&gt; </t>
  </si>
  <si>
    <t>EX_galt</t>
  </si>
  <si>
    <t xml:space="preserve">galt[e]  &lt;=&gt; </t>
  </si>
  <si>
    <t>EX_galur</t>
  </si>
  <si>
    <t xml:space="preserve">galur[e]  &lt;=&gt; </t>
  </si>
  <si>
    <t>EX_gam</t>
  </si>
  <si>
    <t xml:space="preserve">gam[e]  &lt;=&gt; </t>
  </si>
  <si>
    <t>EX_gbbtn</t>
  </si>
  <si>
    <t xml:space="preserve">gbbtn[e]  &lt;=&gt; </t>
  </si>
  <si>
    <t>EX_glc</t>
  </si>
  <si>
    <t xml:space="preserve">glc-D[e]  &lt;=&gt; </t>
  </si>
  <si>
    <t>EX_glcn</t>
  </si>
  <si>
    <t xml:space="preserve">glcn[e]  &lt;=&gt; </t>
  </si>
  <si>
    <t>EX_glcr</t>
  </si>
  <si>
    <t xml:space="preserve">glcr[e]  &lt;=&gt; </t>
  </si>
  <si>
    <t>EX_glcur</t>
  </si>
  <si>
    <t xml:space="preserve">glcur[e]  &lt;=&gt; </t>
  </si>
  <si>
    <t>EX_gln-L</t>
  </si>
  <si>
    <t xml:space="preserve">gln-L[e]  &lt;=&gt; </t>
  </si>
  <si>
    <t>EX_glu-L</t>
  </si>
  <si>
    <t xml:space="preserve">glu-L[e]  &lt;=&gt; </t>
  </si>
  <si>
    <t>EX_gly</t>
  </si>
  <si>
    <t xml:space="preserve">gly[e]  &lt;=&gt; </t>
  </si>
  <si>
    <t>EX_glyald</t>
  </si>
  <si>
    <t xml:space="preserve">glyald[e]  &lt;=&gt; </t>
  </si>
  <si>
    <t>EX_glyb</t>
  </si>
  <si>
    <t xml:space="preserve">glyb[e]  &lt;=&gt; </t>
  </si>
  <si>
    <t>EX_glyc</t>
  </si>
  <si>
    <t xml:space="preserve">glyc[e]  &lt;=&gt; </t>
  </si>
  <si>
    <t>EX_glyc3p</t>
  </si>
  <si>
    <t xml:space="preserve">glyc3p[e]  &lt;=&gt; </t>
  </si>
  <si>
    <t>EX_glyclt</t>
  </si>
  <si>
    <t xml:space="preserve">glyclt[e]  &lt;=&gt; </t>
  </si>
  <si>
    <t>EX_gsn</t>
  </si>
  <si>
    <t xml:space="preserve">gsn[e]  &lt;=&gt; </t>
  </si>
  <si>
    <t>EX_gua</t>
  </si>
  <si>
    <t xml:space="preserve">gua[e]  &lt;=&gt; </t>
  </si>
  <si>
    <t>EX_h</t>
  </si>
  <si>
    <t>EX_h2o</t>
  </si>
  <si>
    <t xml:space="preserve">h2o[e]  &lt;=&gt; </t>
  </si>
  <si>
    <t>EX_hdca</t>
  </si>
  <si>
    <t xml:space="preserve">hdca[e]  &lt;=&gt; </t>
  </si>
  <si>
    <t>EX_his-L</t>
  </si>
  <si>
    <t xml:space="preserve">his-L[e]  &lt;=&gt; </t>
  </si>
  <si>
    <t>EX_hxan</t>
  </si>
  <si>
    <t xml:space="preserve">hxan[e]  &lt;=&gt; </t>
  </si>
  <si>
    <t>EX_idon-L</t>
  </si>
  <si>
    <t xml:space="preserve">idon-L[e]  &lt;=&gt; </t>
  </si>
  <si>
    <t>EX_ile-L</t>
  </si>
  <si>
    <t xml:space="preserve">ile-L[e]  &lt;=&gt; </t>
  </si>
  <si>
    <t>EX_indole</t>
  </si>
  <si>
    <t xml:space="preserve">indole[e]  &lt;=&gt; </t>
  </si>
  <si>
    <t>EX_ins</t>
  </si>
  <si>
    <t xml:space="preserve">ins[e]  &lt;=&gt; </t>
  </si>
  <si>
    <t>EX_k</t>
  </si>
  <si>
    <t xml:space="preserve">k[e]  &lt;=&gt; </t>
  </si>
  <si>
    <t>EX_lac-D</t>
  </si>
  <si>
    <t xml:space="preserve">lac-D[e]  &lt;=&gt; </t>
  </si>
  <si>
    <t>EX_lac-L</t>
  </si>
  <si>
    <t xml:space="preserve">lac-L[e]  &lt;=&gt; </t>
  </si>
  <si>
    <t>EX_lcts</t>
  </si>
  <si>
    <t xml:space="preserve">lcts[e]  &lt;=&gt; </t>
  </si>
  <si>
    <t>EX_leu-L</t>
  </si>
  <si>
    <t xml:space="preserve">leu-L[e]  &lt;=&gt; </t>
  </si>
  <si>
    <t>EX_lys-L</t>
  </si>
  <si>
    <t xml:space="preserve">lys-L[e]  &lt;=&gt; </t>
  </si>
  <si>
    <t>EX_mal-L</t>
  </si>
  <si>
    <t xml:space="preserve">mal-L[e]  &lt;=&gt; </t>
  </si>
  <si>
    <t>EX_malt</t>
  </si>
  <si>
    <t xml:space="preserve">malt[e]  &lt;=&gt; </t>
  </si>
  <si>
    <t>EX_malthx</t>
  </si>
  <si>
    <t xml:space="preserve">malthx[e]  &lt;=&gt; </t>
  </si>
  <si>
    <t>EX_maltpt</t>
  </si>
  <si>
    <t xml:space="preserve">maltpt[e]  &lt;=&gt; </t>
  </si>
  <si>
    <t>EX_malttr</t>
  </si>
  <si>
    <t xml:space="preserve">malttr[e]  &lt;=&gt; </t>
  </si>
  <si>
    <t>EX_maltttr</t>
  </si>
  <si>
    <t xml:space="preserve">maltttr[e]  &lt;=&gt; </t>
  </si>
  <si>
    <t>EX_man</t>
  </si>
  <si>
    <t xml:space="preserve">man[e]  &lt;=&gt; </t>
  </si>
  <si>
    <t>EX_man6p</t>
  </si>
  <si>
    <t xml:space="preserve">man6p[e]  &lt;=&gt; </t>
  </si>
  <si>
    <t>EX_melib</t>
  </si>
  <si>
    <t xml:space="preserve">melib[e]  &lt;=&gt; </t>
  </si>
  <si>
    <t>EX_met-D</t>
  </si>
  <si>
    <t xml:space="preserve">met-D[e]  &lt;=&gt; </t>
  </si>
  <si>
    <t>EX_met-L</t>
  </si>
  <si>
    <t xml:space="preserve">met-L[e]  &lt;=&gt; </t>
  </si>
  <si>
    <t>EX_mnl</t>
  </si>
  <si>
    <t xml:space="preserve">mnl[e]  &lt;=&gt; </t>
  </si>
  <si>
    <t>EX_na1</t>
  </si>
  <si>
    <t xml:space="preserve">na1[e]  &lt;=&gt; </t>
  </si>
  <si>
    <t>EX_nac</t>
  </si>
  <si>
    <t xml:space="preserve">nac[e]  &lt;=&gt; </t>
  </si>
  <si>
    <t>EX_nad</t>
  </si>
  <si>
    <t xml:space="preserve">nad[e]  &lt;=&gt; </t>
  </si>
  <si>
    <t xml:space="preserve">nh3[e]  &lt;=&gt; </t>
  </si>
  <si>
    <t>EX_nmn</t>
  </si>
  <si>
    <t xml:space="preserve">nmn[e]  &lt;=&gt; </t>
  </si>
  <si>
    <t>EX_no2</t>
  </si>
  <si>
    <t xml:space="preserve">no2[e]  &lt;=&gt; </t>
  </si>
  <si>
    <t>EX_no3</t>
  </si>
  <si>
    <t xml:space="preserve">no3[e]  &lt;=&gt; </t>
  </si>
  <si>
    <t>EX_o2</t>
  </si>
  <si>
    <t xml:space="preserve">o2[e]  &lt;=&gt; </t>
  </si>
  <si>
    <t>EX_ocdca</t>
  </si>
  <si>
    <t xml:space="preserve">ocdca[e]  &lt;=&gt; </t>
  </si>
  <si>
    <t>EX_orn</t>
  </si>
  <si>
    <t xml:space="preserve">orn[e]  &lt;=&gt; </t>
  </si>
  <si>
    <t>EX_phe-L</t>
  </si>
  <si>
    <t xml:space="preserve">phe-L[e]  &lt;=&gt; </t>
  </si>
  <si>
    <t>EX_pi</t>
  </si>
  <si>
    <t xml:space="preserve">pi[e]  &lt;=&gt; </t>
  </si>
  <si>
    <t>EX_pnto-R</t>
  </si>
  <si>
    <t xml:space="preserve">pnto-R[e]  &lt;=&gt; </t>
  </si>
  <si>
    <t>EX_pppn</t>
  </si>
  <si>
    <t xml:space="preserve">pppn[e]  &lt;=&gt; </t>
  </si>
  <si>
    <t>EX_pro-L</t>
  </si>
  <si>
    <t xml:space="preserve">pro-L[e]  &lt;=&gt; </t>
  </si>
  <si>
    <t>EX_ptrc</t>
  </si>
  <si>
    <t xml:space="preserve">ptrc[e]  &lt;=&gt; </t>
  </si>
  <si>
    <t>EX_pyr</t>
  </si>
  <si>
    <t xml:space="preserve">pyr[e]  &lt;=&gt; </t>
  </si>
  <si>
    <t>EX_rib-D</t>
  </si>
  <si>
    <t xml:space="preserve">rib-D[e]  &lt;=&gt; </t>
  </si>
  <si>
    <t>EX_rmn</t>
  </si>
  <si>
    <t xml:space="preserve">rmn[e]  &lt;=&gt; </t>
  </si>
  <si>
    <t>EX_sbt-D</t>
  </si>
  <si>
    <t xml:space="preserve">sbt-D[e]  &lt;=&gt; </t>
  </si>
  <si>
    <t>EX_ser-D</t>
  </si>
  <si>
    <t xml:space="preserve">ser-D[e]  &lt;=&gt; </t>
  </si>
  <si>
    <t>EX_ser-L</t>
  </si>
  <si>
    <t xml:space="preserve">ser-L[e]  &lt;=&gt; </t>
  </si>
  <si>
    <t>EX_so4</t>
  </si>
  <si>
    <t xml:space="preserve">so4[e]  &lt;=&gt; </t>
  </si>
  <si>
    <t>EX_spmd</t>
  </si>
  <si>
    <t xml:space="preserve">spmd[e]  &lt;=&gt; </t>
  </si>
  <si>
    <t>EX_succ</t>
  </si>
  <si>
    <t xml:space="preserve">succ[e]  &lt;=&gt; </t>
  </si>
  <si>
    <t>EX_sucr</t>
  </si>
  <si>
    <t xml:space="preserve">sucr[e]  &lt;=&gt; </t>
  </si>
  <si>
    <t>EX_tartr-L</t>
  </si>
  <si>
    <t xml:space="preserve">tartr-L[e]  &lt;=&gt; </t>
  </si>
  <si>
    <t>EX_taur</t>
  </si>
  <si>
    <t xml:space="preserve">taur[e]  &lt;=&gt; </t>
  </si>
  <si>
    <t>EX_thm</t>
  </si>
  <si>
    <t xml:space="preserve">thm[e]  &lt;=&gt; </t>
  </si>
  <si>
    <t>EX_thr-L</t>
  </si>
  <si>
    <t xml:space="preserve">thr-L[e]  &lt;=&gt; </t>
  </si>
  <si>
    <t>EX_thymd</t>
  </si>
  <si>
    <t xml:space="preserve">thymd[e]  &lt;=&gt; </t>
  </si>
  <si>
    <t>EX_tma</t>
  </si>
  <si>
    <t xml:space="preserve">tma[e]  &lt;=&gt; </t>
  </si>
  <si>
    <t>EX_tmao</t>
  </si>
  <si>
    <t xml:space="preserve">tmao[e]  &lt;=&gt; </t>
  </si>
  <si>
    <t>EX_tre</t>
  </si>
  <si>
    <t xml:space="preserve">tre[e]  &lt;=&gt; </t>
  </si>
  <si>
    <t>EX_trp-L</t>
  </si>
  <si>
    <t xml:space="preserve">trp-L[e]  &lt;=&gt; </t>
  </si>
  <si>
    <t>EX_tsul</t>
  </si>
  <si>
    <t xml:space="preserve">tsul[e]  &lt;=&gt; </t>
  </si>
  <si>
    <t>EX_ttdca</t>
  </si>
  <si>
    <t xml:space="preserve">ttdca[e]  &lt;=&gt; </t>
  </si>
  <si>
    <t>EX_tyr-L</t>
  </si>
  <si>
    <t xml:space="preserve">tyr-L[e]  &lt;=&gt; </t>
  </si>
  <si>
    <t>EX_ura</t>
  </si>
  <si>
    <t xml:space="preserve">ura[e]  &lt;=&gt; </t>
  </si>
  <si>
    <t>EX_urea</t>
  </si>
  <si>
    <t xml:space="preserve">urea[e]  &lt;=&gt; </t>
  </si>
  <si>
    <t>EX_uri</t>
  </si>
  <si>
    <t xml:space="preserve">uri[e]  &lt;=&gt; </t>
  </si>
  <si>
    <t>EX_val-L</t>
  </si>
  <si>
    <t xml:space="preserve">val-L[e]  &lt;=&gt; </t>
  </si>
  <si>
    <t>EX_xan</t>
  </si>
  <si>
    <t xml:space="preserve">xan[e]  &lt;=&gt; </t>
  </si>
  <si>
    <t>EX_xtsn</t>
  </si>
  <si>
    <t xml:space="preserve">xtsn[e]  &lt;=&gt; </t>
  </si>
  <si>
    <t>EX_xyl-D</t>
  </si>
  <si>
    <t xml:space="preserve">xyl-D[e]  &lt;=&gt; </t>
  </si>
  <si>
    <t>EX_C</t>
  </si>
  <si>
    <t xml:space="preserve">charge[e] &lt;=&gt; </t>
  </si>
  <si>
    <t>biomass</t>
  </si>
  <si>
    <t>Intracellular part</t>
  </si>
  <si>
    <t>Transmembrane part</t>
  </si>
  <si>
    <t>Transport map</t>
  </si>
  <si>
    <t>12PPDt</t>
  </si>
  <si>
    <t xml:space="preserve">12ppd-S[e]  &lt;=&gt; 12ppd-S[c] </t>
  </si>
  <si>
    <t>ABUTt2</t>
  </si>
  <si>
    <t xml:space="preserve">4abut[e]  &lt;=&gt; 4abut[c] </t>
  </si>
  <si>
    <t>ACACt2</t>
  </si>
  <si>
    <t xml:space="preserve">acac[e]  &lt;=&gt; acac[c] </t>
  </si>
  <si>
    <t>ACALDt</t>
  </si>
  <si>
    <t xml:space="preserve">acald[e]  &lt;=&gt; acald[c] </t>
  </si>
  <si>
    <t>ACGApts</t>
  </si>
  <si>
    <t xml:space="preserve">pep[c] + acgam[e]  &lt;=&gt; acgam6p[c] + pyr[c] </t>
  </si>
  <si>
    <t>ACMANApts</t>
  </si>
  <si>
    <t xml:space="preserve">pep[c] + acmana[e]  &lt;=&gt; acmanap[c] + pyr[c] </t>
  </si>
  <si>
    <t>ACNAMt2</t>
  </si>
  <si>
    <t xml:space="preserve">acnam[e]  &lt;=&gt; acnam[c] </t>
  </si>
  <si>
    <t>ACt2r</t>
  </si>
  <si>
    <t xml:space="preserve">ac[e]  &lt;=&gt; ac[c] </t>
  </si>
  <si>
    <t>ADEt2r</t>
  </si>
  <si>
    <t xml:space="preserve">ade[e]  &lt;=&gt; ade[c] </t>
  </si>
  <si>
    <t>ADNt2</t>
  </si>
  <si>
    <t xml:space="preserve">adn[e]  &lt;=&gt; adn[c] </t>
  </si>
  <si>
    <t>AKGt2r</t>
  </si>
  <si>
    <t xml:space="preserve">akg[e]  &lt;=&gt; akg[c] </t>
  </si>
  <si>
    <t>ALAabc</t>
  </si>
  <si>
    <t xml:space="preserve">atp[c] + h2o[c] + ala-L[e]  &lt;=&gt; adp[c] + ala-L[c] + pi[c] </t>
  </si>
  <si>
    <t>ALAt2r</t>
  </si>
  <si>
    <t xml:space="preserve">ala-L[e]  &lt;=&gt; ala-L[c] </t>
  </si>
  <si>
    <t>ALLTNt2r</t>
  </si>
  <si>
    <t xml:space="preserve">alltn[e]  &lt;=&gt; alltn[c] </t>
  </si>
  <si>
    <t>ARBabc</t>
  </si>
  <si>
    <t xml:space="preserve">atp[c] + h2o[c] + arab-L[e]  &lt;=&gt; adp[c] + arab-L[c] + pi[c] </t>
  </si>
  <si>
    <t>ARBt2r</t>
  </si>
  <si>
    <t xml:space="preserve">arab-L[e]  &lt;=&gt; arab-L[c] </t>
  </si>
  <si>
    <t>ARGabc</t>
  </si>
  <si>
    <t xml:space="preserve">atp[c] + h2o[c] + arg-L[e]  &lt;=&gt; adp[c] + arg-L[c] + pi[c] </t>
  </si>
  <si>
    <t>ARGORNt7</t>
  </si>
  <si>
    <t xml:space="preserve">orn[c] + arg-L[e]  &lt;=&gt; arg-L[c] + orn[e] </t>
  </si>
  <si>
    <t>ASNabc</t>
  </si>
  <si>
    <t xml:space="preserve">atp[c] + h2o[c] + asn-L[e]  &lt;=&gt; adp[c] + asn-L[c] + pi[c] </t>
  </si>
  <si>
    <t>ASNt2r</t>
  </si>
  <si>
    <t xml:space="preserve">asn-L[e]  &lt;=&gt; asn-L[c] </t>
  </si>
  <si>
    <t>ASPabc</t>
  </si>
  <si>
    <t xml:space="preserve">atp[c] + h2o[c] + asp-L[e]  &lt;=&gt; adp[c] + asp-L[c] + pi[c] </t>
  </si>
  <si>
    <t>ASPt2</t>
  </si>
  <si>
    <t xml:space="preserve">asp-L[e]  &lt;=&gt; asp-L[c] </t>
  </si>
  <si>
    <t>ATPS4r</t>
  </si>
  <si>
    <t xml:space="preserve">adp[c] + pi[c]  &lt;=&gt; atp[c] + h2o[c] </t>
  </si>
  <si>
    <t>BUTt2r</t>
  </si>
  <si>
    <t xml:space="preserve">but[e]  &lt;=&gt; but[c] </t>
  </si>
  <si>
    <t>CADVt</t>
  </si>
  <si>
    <t xml:space="preserve">15dap[c] + lys-L[e]  &lt;=&gt; lys-L[c] + 15dap[e] </t>
  </si>
  <si>
    <t>CBL1abc</t>
  </si>
  <si>
    <t xml:space="preserve">atp[c] + h2o[c] + cbl1[e]  &lt;=&gt; adp[c] + cbl1[c] + pi[c] </t>
  </si>
  <si>
    <t>CHLabc</t>
  </si>
  <si>
    <t xml:space="preserve">atp[c] + h2o[c] + chol[e]  &lt;=&gt; adp[c] + chol[c] + pi[c] </t>
  </si>
  <si>
    <t>CHLt2r</t>
  </si>
  <si>
    <t xml:space="preserve">chol[e]  &lt;=&gt; chol[c] </t>
  </si>
  <si>
    <t>CITt7</t>
  </si>
  <si>
    <t xml:space="preserve">succ[c] + cit[e]  &lt;=&gt; cit[c] + succ[e] </t>
  </si>
  <si>
    <t>CO2t</t>
  </si>
  <si>
    <t xml:space="preserve">co2tot[e]  &lt;=&gt; co2tot[c] </t>
  </si>
  <si>
    <t>CRNt7</t>
  </si>
  <si>
    <t xml:space="preserve">gbbtn[c] + crn[e]  &lt;=&gt; crn[c] + gbbtn[e] </t>
  </si>
  <si>
    <t>CSNt2</t>
  </si>
  <si>
    <t xml:space="preserve">csn[e]  &lt;=&gt; csn[c] </t>
  </si>
  <si>
    <t>CYNTt2</t>
  </si>
  <si>
    <t xml:space="preserve">cynt[e]  &lt;=&gt; cynt[c] </t>
  </si>
  <si>
    <t>CYSabc</t>
  </si>
  <si>
    <t xml:space="preserve">atp[c] + h2o[c] + cys-L[e]  &lt;=&gt; adp[c] + cys-L[c] + pi[c] </t>
  </si>
  <si>
    <t>CYTBD</t>
  </si>
  <si>
    <t xml:space="preserve">(0.5) o2[c] + q8h2[c]  &lt;=&gt; h2o[c] + q8[c] </t>
  </si>
  <si>
    <t>CYTDt2</t>
  </si>
  <si>
    <t xml:space="preserve">cytd[e]  &lt;=&gt; cytd[c] </t>
  </si>
  <si>
    <t>DADNt2</t>
  </si>
  <si>
    <t xml:space="preserve">dad-2[e]  &lt;=&gt; dad-2[c] </t>
  </si>
  <si>
    <t>DALAt2r</t>
  </si>
  <si>
    <t xml:space="preserve">ala-D[e]  &lt;=&gt; ala-D[c] </t>
  </si>
  <si>
    <t>DAPabc</t>
  </si>
  <si>
    <t xml:space="preserve">atp[c] + h2o[c] + 26dap-M[e]  &lt;=&gt; 26dap-M[c] + adp[c] + pi[c] </t>
  </si>
  <si>
    <t>DCYTt2</t>
  </si>
  <si>
    <t xml:space="preserve">dcyt[e]  &lt;=&gt; dcyt[c] </t>
  </si>
  <si>
    <t>DDGLCNt2r</t>
  </si>
  <si>
    <t xml:space="preserve">2ddglcn[e]  &lt;=&gt; 2ddglcn[c] </t>
  </si>
  <si>
    <t>DGSNt2</t>
  </si>
  <si>
    <t xml:space="preserve">dgsn[e]  &lt;=&gt; dgsn[c] </t>
  </si>
  <si>
    <t>DHAt</t>
  </si>
  <si>
    <t xml:space="preserve">dha[e]  &lt;=&gt; dha[c] </t>
  </si>
  <si>
    <t>DINSt2</t>
  </si>
  <si>
    <t xml:space="preserve">din[e]  &lt;=&gt; din[c] </t>
  </si>
  <si>
    <t>D-LACt2</t>
  </si>
  <si>
    <t xml:space="preserve">lac-D[e]  &lt;=&gt; lac-D[c] </t>
  </si>
  <si>
    <t>DMSOR1e</t>
  </si>
  <si>
    <t xml:space="preserve">mql8[c] + dmso[e]  &lt;=&gt; mqn8[c] + dms[e] + h2o[e] </t>
  </si>
  <si>
    <t>DMSOR2e</t>
  </si>
  <si>
    <t xml:space="preserve">2dmmql8[c] + dmso[e]  &lt;=&gt; 2dmmq8[c] + dms[e] + h2o[e] </t>
  </si>
  <si>
    <t>DSERt2r</t>
  </si>
  <si>
    <t xml:space="preserve">ser-D[e]  &lt;=&gt; ser-D[c] </t>
  </si>
  <si>
    <t>DURIt2</t>
  </si>
  <si>
    <t xml:space="preserve">duri[e]  &lt;=&gt; duri[c] </t>
  </si>
  <si>
    <t>ETOHt2r</t>
  </si>
  <si>
    <t xml:space="preserve">etoh[e]  &lt;=&gt; etoh[c] </t>
  </si>
  <si>
    <t>FDH2</t>
  </si>
  <si>
    <t xml:space="preserve">for[c] + q8[c]  &lt;=&gt; co2tot[c] + q8h2[c] </t>
  </si>
  <si>
    <t>FDH3</t>
  </si>
  <si>
    <t xml:space="preserve">for[c] + mqn8[c]  &lt;=&gt; co2tot[c] + mql8[c] </t>
  </si>
  <si>
    <t>FE2abc</t>
  </si>
  <si>
    <t xml:space="preserve">atp[c] + h2o[c] + fe2[e]  &lt;=&gt; adp[c] + fe2[c] + pi[c] </t>
  </si>
  <si>
    <t>FORt</t>
  </si>
  <si>
    <t xml:space="preserve">for[e]  &lt;=&gt; for[c] </t>
  </si>
  <si>
    <t>FRUpts</t>
  </si>
  <si>
    <t xml:space="preserve">pep[c] + fru[e]  &lt;=&gt; f1p[c] + pyr[c] </t>
  </si>
  <si>
    <t>FRUpts2</t>
  </si>
  <si>
    <t xml:space="preserve">pep[c] + fru[e]  &lt;=&gt; f6p[c] + pyr[c] </t>
  </si>
  <si>
    <t>FUCPt62</t>
  </si>
  <si>
    <t xml:space="preserve">(2) pi[c] + fuc1p-L[e]  &lt;=&gt; fuc1p-L[c] + (2) pi[e] </t>
  </si>
  <si>
    <t>FUCt</t>
  </si>
  <si>
    <t xml:space="preserve">fuc-L[e]  &lt;=&gt; fuc-L[c] </t>
  </si>
  <si>
    <t>FUMt22</t>
  </si>
  <si>
    <t xml:space="preserve">fum[e]  &lt;=&gt; fum[c] </t>
  </si>
  <si>
    <t>G6Pt62</t>
  </si>
  <si>
    <t xml:space="preserve">(2) pi[c] + g6p[e]  &lt;=&gt; g6p[c] + (2) pi[e] </t>
  </si>
  <si>
    <t>GALabc</t>
  </si>
  <si>
    <t xml:space="preserve">atp[c] + h2o[c] + gal[e]  &lt;=&gt; adp[c] + gal[c] + pi[c] </t>
  </si>
  <si>
    <t>GALCTNt2r</t>
  </si>
  <si>
    <t xml:space="preserve">galctn-D[e]  &lt;=&gt; galctn-D[c] </t>
  </si>
  <si>
    <t>GALCTt2r</t>
  </si>
  <si>
    <t xml:space="preserve">galct-D[e]  &lt;=&gt; galct-D[c] </t>
  </si>
  <si>
    <t>GALt2</t>
  </si>
  <si>
    <t xml:space="preserve">gal[e]  &lt;=&gt; gal[c] </t>
  </si>
  <si>
    <t>GALTpts</t>
  </si>
  <si>
    <t xml:space="preserve">pep[c] + galt[e]  &lt;=&gt; galt1p[c] + pyr[c] </t>
  </si>
  <si>
    <t>GALURt2r</t>
  </si>
  <si>
    <t xml:space="preserve">galur[e]  &lt;=&gt; galur[c] </t>
  </si>
  <si>
    <t>GAMpts</t>
  </si>
  <si>
    <t xml:space="preserve">pep[c] + gam[e]  &lt;=&gt; gam6p[c] + pyr[c] </t>
  </si>
  <si>
    <t>GLCDe</t>
  </si>
  <si>
    <t xml:space="preserve">q8[c] + glc-D[e] + h2o[e]  &lt;=&gt; q8h2[c] + glcn[e] </t>
  </si>
  <si>
    <t>GLCNt2r</t>
  </si>
  <si>
    <t xml:space="preserve">glcn[e]  &lt;=&gt; glcn[c] </t>
  </si>
  <si>
    <t>GLCpts</t>
  </si>
  <si>
    <t xml:space="preserve">pep[c] + glc-D[e]  &lt;=&gt; g6p[c] + pyr[c] </t>
  </si>
  <si>
    <t>GLCRt2r</t>
  </si>
  <si>
    <t xml:space="preserve">glcr[e]  &lt;=&gt; glcr[c] </t>
  </si>
  <si>
    <t>GLCt2</t>
  </si>
  <si>
    <t xml:space="preserve">glc-D[e]  &lt;=&gt; glc-D[c] </t>
  </si>
  <si>
    <t>GLCURt2r</t>
  </si>
  <si>
    <t xml:space="preserve">glcur[e]  &lt;=&gt; glcur[c] </t>
  </si>
  <si>
    <t>GLNabc</t>
  </si>
  <si>
    <t xml:space="preserve">atp[c] + h2o[c] + gln-L[e]  &lt;=&gt; adp[c] + gln-L[c] + pi[c] </t>
  </si>
  <si>
    <t>GLUabc</t>
  </si>
  <si>
    <t xml:space="preserve">atp[c] + h2o[c] + glu-L[e]  &lt;=&gt; adp[c] + glu-L[c] + pi[c] </t>
  </si>
  <si>
    <t>GLUABUTt7</t>
  </si>
  <si>
    <t xml:space="preserve">4abut[c] + glu-L[e]  &lt;=&gt; glu-L[c] + 4abut[e] </t>
  </si>
  <si>
    <t>GLUt2r</t>
  </si>
  <si>
    <t xml:space="preserve">glu-L[e]  &lt;=&gt; glu-L[c] </t>
  </si>
  <si>
    <t>GLUt4</t>
  </si>
  <si>
    <t xml:space="preserve">glu-L[e] + na1[e]  &lt;=&gt; glu-L[c] + na1[c] </t>
  </si>
  <si>
    <t>GLYALDt</t>
  </si>
  <si>
    <t xml:space="preserve">glyald[e]  &lt;=&gt; glyald[c] </t>
  </si>
  <si>
    <t>GLYBabc</t>
  </si>
  <si>
    <t xml:space="preserve">atp[c] + h2o[c] + glyb[e]  &lt;=&gt; adp[c] + glyb[c] + pi[c] </t>
  </si>
  <si>
    <t>GLYBt2r</t>
  </si>
  <si>
    <t xml:space="preserve">glyb[e]  &lt;=&gt; glyb[c] </t>
  </si>
  <si>
    <t>GLYC3Pabc</t>
  </si>
  <si>
    <t xml:space="preserve">atp[c] + h2o[c] + glyc3p[e]  &lt;=&gt; adp[c] + glyc3p[c] + pi[c] </t>
  </si>
  <si>
    <t>GLYC3Pt6</t>
  </si>
  <si>
    <t xml:space="preserve">pi[c] + glyc3p[e]  &lt;=&gt; glyc3p[c] + pi[e] </t>
  </si>
  <si>
    <t>GLYCLTt2r</t>
  </si>
  <si>
    <t xml:space="preserve">glyclt[e]  &lt;=&gt; glyclt[c] </t>
  </si>
  <si>
    <t>GLYCt</t>
  </si>
  <si>
    <t xml:space="preserve">glyc[c]  &lt;=&gt; glyc[e] </t>
  </si>
  <si>
    <t>GLYt2r</t>
  </si>
  <si>
    <t xml:space="preserve">gly[e]  &lt;=&gt; gly[c] </t>
  </si>
  <si>
    <t>GSNt2</t>
  </si>
  <si>
    <t xml:space="preserve">gsn[e]  &lt;=&gt; gsn[c] </t>
  </si>
  <si>
    <t>GUAt</t>
  </si>
  <si>
    <t xml:space="preserve">gua[e]  &lt;=&gt; gua[c] </t>
  </si>
  <si>
    <t>H2Ot</t>
  </si>
  <si>
    <t xml:space="preserve">h2o[e]  &lt;=&gt; h2o[c] </t>
  </si>
  <si>
    <t>HCINNMt2r</t>
  </si>
  <si>
    <t xml:space="preserve">3hcinnm[e]  &lt;=&gt; 3hcinnm[c] </t>
  </si>
  <si>
    <t>HDCAt2</t>
  </si>
  <si>
    <t xml:space="preserve">hdca[e]  &lt;=&gt; hdca[c] </t>
  </si>
  <si>
    <t>HISabc</t>
  </si>
  <si>
    <t xml:space="preserve">atp[c] + h2o[c] + his-L[e]  &lt;=&gt; adp[c] + his-L[c] + pi[c] </t>
  </si>
  <si>
    <t>HISt2r</t>
  </si>
  <si>
    <t xml:space="preserve">his-L[e]  &lt;=&gt; his-L[c] </t>
  </si>
  <si>
    <t>HPPPNt2r</t>
  </si>
  <si>
    <t xml:space="preserve">3hpppn[e]  &lt;=&gt; 3hpppn[c] </t>
  </si>
  <si>
    <t>HYD1</t>
  </si>
  <si>
    <t xml:space="preserve">h2[c] + q8[c]  &lt;=&gt; q8h2[c] </t>
  </si>
  <si>
    <t>HYD2</t>
  </si>
  <si>
    <t xml:space="preserve">h2[c] + mqn8[c]  &lt;=&gt; mql8[c] </t>
  </si>
  <si>
    <t>HYD3</t>
  </si>
  <si>
    <t xml:space="preserve">2dmmq8[c] + h2[c]  &lt;=&gt; 2dmmql8[c] </t>
  </si>
  <si>
    <t>HYXNt</t>
  </si>
  <si>
    <t xml:space="preserve">hxan[e]  &lt;=&gt; hxan[c] </t>
  </si>
  <si>
    <t>IDONt2r</t>
  </si>
  <si>
    <t xml:space="preserve">idon-L[e]  &lt;=&gt; idon-L[c] </t>
  </si>
  <si>
    <t>ILEabc</t>
  </si>
  <si>
    <t xml:space="preserve">atp[c] + h2o[c] + ile-L[e]  &lt;=&gt; adp[c] + ile-L[c] + pi[c] </t>
  </si>
  <si>
    <t>ILEt2r</t>
  </si>
  <si>
    <t xml:space="preserve">ile-L[e]  &lt;=&gt; ile-L[c] </t>
  </si>
  <si>
    <t>INDOLEt2r</t>
  </si>
  <si>
    <t xml:space="preserve">indole[e]  &lt;=&gt; indole[c] </t>
  </si>
  <si>
    <t>INSt2</t>
  </si>
  <si>
    <t xml:space="preserve">ins[e]  &lt;=&gt; ins[c] </t>
  </si>
  <si>
    <t>Kabc</t>
  </si>
  <si>
    <t xml:space="preserve">atp[c] + h2o[c] + k[e]  &lt;=&gt; adp[c] + k[c] + pi[c] </t>
  </si>
  <si>
    <t>Kt2r</t>
  </si>
  <si>
    <t xml:space="preserve">k[e]  &lt;=&gt; k[c] </t>
  </si>
  <si>
    <t>LCTSt</t>
  </si>
  <si>
    <t xml:space="preserve">lcts[e]  &lt;=&gt; lcts[c] </t>
  </si>
  <si>
    <t>LEUabc</t>
  </si>
  <si>
    <t xml:space="preserve">atp[c] + h2o[c] + leu-L[e]  &lt;=&gt; adp[c] + leu-L[c] + pi[c] </t>
  </si>
  <si>
    <t>LEUt2r</t>
  </si>
  <si>
    <t xml:space="preserve">leu-L[e]  &lt;=&gt; leu-L[c] </t>
  </si>
  <si>
    <t>L-LACt2r</t>
  </si>
  <si>
    <t xml:space="preserve">lac-L[e]  &lt;=&gt; lac-L[c] </t>
  </si>
  <si>
    <t>LYSabc</t>
  </si>
  <si>
    <t xml:space="preserve">atp[c] + h2o[c] + lys-L[e]  &lt;=&gt; adp[c] + lys-L[c] + pi[c] </t>
  </si>
  <si>
    <t>LYSt2r</t>
  </si>
  <si>
    <t xml:space="preserve">lys-L[e]  &lt;=&gt; lys-L[c] </t>
  </si>
  <si>
    <t>MALt22</t>
  </si>
  <si>
    <t xml:space="preserve">mal-L[e]  &lt;=&gt; mal-L[c] </t>
  </si>
  <si>
    <t>MALTabc</t>
  </si>
  <si>
    <t xml:space="preserve">atp[c] + h2o[c] + malt[e]  &lt;=&gt; adp[c] + malt[c] + pi[c] </t>
  </si>
  <si>
    <t>MALTHXabc</t>
  </si>
  <si>
    <t xml:space="preserve">atp[c] + h2o[c] + malthx[e]  &lt;=&gt; adp[c] + malthx[c] + pi[c] </t>
  </si>
  <si>
    <t>MALTPTabc</t>
  </si>
  <si>
    <t xml:space="preserve">atp[c] + h2o[c] + maltpt[e]  &lt;=&gt; adp[c] + maltpt[c] + pi[c] </t>
  </si>
  <si>
    <t>MALTpts</t>
  </si>
  <si>
    <t xml:space="preserve">pep[c] + malt[e]  &lt;=&gt; malt6p[c] + pyr[c] </t>
  </si>
  <si>
    <t>MALTTRabc</t>
  </si>
  <si>
    <t xml:space="preserve">atp[c] + h2o[c] + malttr[e]  &lt;=&gt; adp[c] + malttr[c] + pi[c] </t>
  </si>
  <si>
    <t>MALTTTRabc</t>
  </si>
  <si>
    <t xml:space="preserve">atp[c] + h2o[c] + maltttr[e]  &lt;=&gt; adp[c] + maltttr[c] + pi[c] </t>
  </si>
  <si>
    <t>MAN6Pt62</t>
  </si>
  <si>
    <t xml:space="preserve">(2) pi[c] + man6p[e]  &lt;=&gt; man6p[c] + (2) pi[e] </t>
  </si>
  <si>
    <t>MANpts</t>
  </si>
  <si>
    <t xml:space="preserve">pep[c] + man[e]  &lt;=&gt; man6p[c] + pyr[c] </t>
  </si>
  <si>
    <t>MELIBt2</t>
  </si>
  <si>
    <t xml:space="preserve">melib[e]  &lt;=&gt; melib[c] </t>
  </si>
  <si>
    <t>METabc</t>
  </si>
  <si>
    <t xml:space="preserve">atp[c] + h2o[c] + met-L[e]  &lt;=&gt; adp[c] + met-L[c] + pi[c] </t>
  </si>
  <si>
    <t>METDabc</t>
  </si>
  <si>
    <t xml:space="preserve">atp[c] + h2o[c] + met-D[e]  &lt;=&gt; adp[c] + met-D[c] + pi[c] </t>
  </si>
  <si>
    <t>MNLpts</t>
  </si>
  <si>
    <t xml:space="preserve">pep[c] + mnl[e]  &lt;=&gt; mnl1p[c] + pyr[c] </t>
  </si>
  <si>
    <t>NACUP</t>
  </si>
  <si>
    <t xml:space="preserve">nac[e]  &lt;=&gt; nac[c] </t>
  </si>
  <si>
    <t>NADH6</t>
  </si>
  <si>
    <t>NADH7</t>
  </si>
  <si>
    <t>NADH8</t>
  </si>
  <si>
    <t>NAt31</t>
  </si>
  <si>
    <t xml:space="preserve">na1[c]  &lt;=&gt; na1[e] </t>
  </si>
  <si>
    <t>NAt31.5</t>
  </si>
  <si>
    <t xml:space="preserve">(2) na1[c]  &lt;=&gt; (2) na1[e] </t>
  </si>
  <si>
    <t>NH3t</t>
  </si>
  <si>
    <t xml:space="preserve">nh3[e]  &lt;=&gt; nh3[c] </t>
  </si>
  <si>
    <t>NMNP</t>
  </si>
  <si>
    <t xml:space="preserve">nmn[e]  &lt;=&gt; nmn[c] </t>
  </si>
  <si>
    <t>NMNt7</t>
  </si>
  <si>
    <t xml:space="preserve">h2o[c] + nmn[e]  &lt;=&gt; ncam[c] + r5p[c] </t>
  </si>
  <si>
    <t>NO2t2r</t>
  </si>
  <si>
    <t xml:space="preserve">no2[e]  &lt;=&gt; no2[c] </t>
  </si>
  <si>
    <t>NO3R1</t>
  </si>
  <si>
    <t xml:space="preserve">no3[c] + q8h2[c]  &lt;=&gt; h2o[c] + no2[c] + q8[c] </t>
  </si>
  <si>
    <t>NO3R2</t>
  </si>
  <si>
    <t xml:space="preserve">mql8[c] + no3[c]  &lt;=&gt; h2o[c] + mqn8[c] + no2[c] </t>
  </si>
  <si>
    <t>NO3t7</t>
  </si>
  <si>
    <t xml:space="preserve">no2[c] + no3[e]  &lt;=&gt; no3[c] + no2[e] </t>
  </si>
  <si>
    <t>O2t</t>
  </si>
  <si>
    <t xml:space="preserve">o2[e]  &lt;=&gt; o2[c] </t>
  </si>
  <si>
    <t>OCDCAt2</t>
  </si>
  <si>
    <t xml:space="preserve">ocdca[e]  &lt;=&gt; ocdca[c] </t>
  </si>
  <si>
    <t>ORNabc</t>
  </si>
  <si>
    <t xml:space="preserve">atp[c] + h2o[c] + orn[e]  &lt;=&gt; adp[c] + orn[c] + pi[c] </t>
  </si>
  <si>
    <t>PHEt2r</t>
  </si>
  <si>
    <t xml:space="preserve">phe-L[e]  &lt;=&gt; phe-L[c] </t>
  </si>
  <si>
    <t>PIabc</t>
  </si>
  <si>
    <t xml:space="preserve">atp[c] + h2o[c] + pi[e]  &lt;=&gt; adp[c] + (2) pi[c] </t>
  </si>
  <si>
    <t>PIt2r</t>
  </si>
  <si>
    <t xml:space="preserve">pi[e]  &lt;=&gt; pi[c] </t>
  </si>
  <si>
    <t>PNTOt4</t>
  </si>
  <si>
    <t xml:space="preserve">na1[e] + pnto-R[e]  &lt;=&gt; na1[c] + pnto-R[c] </t>
  </si>
  <si>
    <t>PPPNt2r</t>
  </si>
  <si>
    <t xml:space="preserve">pppn[e]  &lt;=&gt; pppn[c] </t>
  </si>
  <si>
    <t>PROabc</t>
  </si>
  <si>
    <t xml:space="preserve">atp[c] + h2o[c] + pro-L[e]  &lt;=&gt; adp[c] + pi[c] + pro-L[c] </t>
  </si>
  <si>
    <t>PROt2r</t>
  </si>
  <si>
    <t xml:space="preserve">pro-L[e]  &lt;=&gt; pro-L[c] </t>
  </si>
  <si>
    <t>PROt4</t>
  </si>
  <si>
    <t xml:space="preserve">na1[e] + pro-L[e]  &lt;=&gt; na1[c] + pro-L[c] </t>
  </si>
  <si>
    <t>PTRCabc</t>
  </si>
  <si>
    <t xml:space="preserve">atp[c] + h2o[c] + ptrc[e]  &lt;=&gt; adp[c] + pi[c] + ptrc[c] </t>
  </si>
  <si>
    <t>PTRCORNt7</t>
  </si>
  <si>
    <t xml:space="preserve">orn[c] + ptrc[e]  &lt;=&gt; ptrc[c] + orn[e] </t>
  </si>
  <si>
    <t>PTRCt2r</t>
  </si>
  <si>
    <t xml:space="preserve">ptrc[e]  &lt;=&gt; ptrc[c] </t>
  </si>
  <si>
    <t>PYRt2r</t>
  </si>
  <si>
    <t xml:space="preserve">pyr[e]  &lt;=&gt; pyr[c] </t>
  </si>
  <si>
    <t>RIBabc</t>
  </si>
  <si>
    <t xml:space="preserve">atp[c] + h2o[c] + rib-D[e]  &lt;=&gt; adp[c] + pi[c] + rib-D[c] </t>
  </si>
  <si>
    <t>RMNt</t>
  </si>
  <si>
    <t xml:space="preserve">rmn[e]  &lt;=&gt; rmn[c] </t>
  </si>
  <si>
    <t>SBTpts</t>
  </si>
  <si>
    <t xml:space="preserve">pep[c] + sbt-D[e]  &lt;=&gt; pyr[c] + sbt6p[c] </t>
  </si>
  <si>
    <t>SERt2r</t>
  </si>
  <si>
    <t xml:space="preserve">ser-L[e]  &lt;=&gt; ser-L[c] </t>
  </si>
  <si>
    <t>SERt4</t>
  </si>
  <si>
    <t xml:space="preserve">na1[e] + ser-L[e]  &lt;=&gt; na1[c] + ser-L[c] </t>
  </si>
  <si>
    <t>SPMDabc</t>
  </si>
  <si>
    <t xml:space="preserve">atp[c] + h2o[c] + spmd[e]  &lt;=&gt; adp[c] + pi[c] + spmd[c] </t>
  </si>
  <si>
    <t>SUCCabc</t>
  </si>
  <si>
    <t xml:space="preserve">atp[c] + h2o[c] + succ[e]  &lt;=&gt; adp[c] + pi[c] + succ[c] </t>
  </si>
  <si>
    <t>SUCCt22</t>
  </si>
  <si>
    <t xml:space="preserve">succ[e]  &lt;=&gt; succ[c] </t>
  </si>
  <si>
    <t>SUCCt2b</t>
  </si>
  <si>
    <t xml:space="preserve">succ[c]  &lt;=&gt; succ[e] </t>
  </si>
  <si>
    <t>SUCFUMt</t>
  </si>
  <si>
    <t xml:space="preserve">succ[c] + fum[e]  &lt;=&gt; fum[c] + succ[e] </t>
  </si>
  <si>
    <t>SUCpts</t>
  </si>
  <si>
    <t xml:space="preserve">pep[c] + sucr[e]  &lt;=&gt; pyr[c] + suc6p[c] </t>
  </si>
  <si>
    <t>SULabc</t>
  </si>
  <si>
    <t xml:space="preserve">atp[c] + h2o[c] + so4[e]  &lt;=&gt; adp[c] + pi[c] + so4[c] </t>
  </si>
  <si>
    <t>TARTRt7</t>
  </si>
  <si>
    <t xml:space="preserve">succ[c] + tartr-L[e]  &lt;=&gt; tartr-L[c] + succ[e] </t>
  </si>
  <si>
    <t>TAURabc</t>
  </si>
  <si>
    <t xml:space="preserve">atp[c] + h2o[c] + taur[e]  &lt;=&gt; adp[c] + pi[c] + taur[c] </t>
  </si>
  <si>
    <t>THD2</t>
  </si>
  <si>
    <t xml:space="preserve">nadh[c] + nadp[c]  &lt;=&gt; nad[c] + nadph[c] </t>
  </si>
  <si>
    <t>THMabc</t>
  </si>
  <si>
    <t xml:space="preserve">atp[c] + h2o[c] + thm[e]  &lt;=&gt; adp[c] + pi[c] + thm[c] </t>
  </si>
  <si>
    <t>THMDt2</t>
  </si>
  <si>
    <t xml:space="preserve">thymd[e]  &lt;=&gt; thymd[c] </t>
  </si>
  <si>
    <t>THRabc</t>
  </si>
  <si>
    <t xml:space="preserve">atp[c] + h2o[c] + thr-L[e]  &lt;=&gt; adp[c] + pi[c] + thr-L[c] </t>
  </si>
  <si>
    <t>THRt2r</t>
  </si>
  <si>
    <t xml:space="preserve">thr-L[e]  &lt;=&gt; thr-L[c] </t>
  </si>
  <si>
    <t>THRt4</t>
  </si>
  <si>
    <t xml:space="preserve">na1[e] + thr-L[e]  &lt;=&gt; na1[c] + thr-L[c] </t>
  </si>
  <si>
    <t>TMAOR1e</t>
  </si>
  <si>
    <t xml:space="preserve">mql8[c] + tmao[e]  &lt;=&gt; mqn8[c] + h2o[e] + tma[e] </t>
  </si>
  <si>
    <t>TMAOR2e</t>
  </si>
  <si>
    <t xml:space="preserve">2dmmql8[c] + tmao[e]  &lt;=&gt; 2dmmq8[c] + h2o[e] + tma[e] </t>
  </si>
  <si>
    <t>TREpts</t>
  </si>
  <si>
    <t xml:space="preserve">pep[c] + tre[e]  &lt;=&gt; pyr[c] + tre6p[c] </t>
  </si>
  <si>
    <t>TRPt2r</t>
  </si>
  <si>
    <t xml:space="preserve">trp-L[e]  &lt;=&gt; trp-L[c] </t>
  </si>
  <si>
    <t>TSULabc</t>
  </si>
  <si>
    <t xml:space="preserve">atp[c] + h2o[c] + tsul[e]  &lt;=&gt; adp[c] + pi[c] + tsul[c] </t>
  </si>
  <si>
    <t>TTDCAt2</t>
  </si>
  <si>
    <t xml:space="preserve">ttdca[e]  &lt;=&gt; ttdca[c] </t>
  </si>
  <si>
    <t>TYRt2r</t>
  </si>
  <si>
    <t xml:space="preserve">tyr-L[e]  &lt;=&gt; tyr-L[c] </t>
  </si>
  <si>
    <t>URAt2</t>
  </si>
  <si>
    <t xml:space="preserve">ura[e]  &lt;=&gt; ura[c] </t>
  </si>
  <si>
    <t>UREAt</t>
  </si>
  <si>
    <t xml:space="preserve">urea[e]  &lt;=&gt; urea[c] </t>
  </si>
  <si>
    <t>URIt2</t>
  </si>
  <si>
    <t xml:space="preserve">uri[e]  &lt;=&gt; uri[c] </t>
  </si>
  <si>
    <t>VALabc</t>
  </si>
  <si>
    <t xml:space="preserve">atp[c] + h2o[c] + val-L[e]  &lt;=&gt; adp[c] + pi[c] + val-L[c] </t>
  </si>
  <si>
    <t>VALt2r</t>
  </si>
  <si>
    <t xml:space="preserve">val-L[e]  &lt;=&gt; val-L[c] </t>
  </si>
  <si>
    <t>XANt</t>
  </si>
  <si>
    <t xml:space="preserve">xan[e]  &lt;=&gt; xan[c] </t>
  </si>
  <si>
    <t>XTSNt2r</t>
  </si>
  <si>
    <t xml:space="preserve">xtsn[e]  &lt;=&gt; xtsn[c] </t>
  </si>
  <si>
    <t>XYLabc</t>
  </si>
  <si>
    <t xml:space="preserve">atp[c] + h2o[c] + xyl-D[e]  &lt;=&gt; adp[c] + pi[c] + xyl-D[c] </t>
  </si>
  <si>
    <t>XYLt2</t>
  </si>
  <si>
    <t xml:space="preserve">xyl-D[e]  &lt;=&gt; xyl-D[c] </t>
  </si>
  <si>
    <t>Concentration Limits</t>
  </si>
  <si>
    <t>extracellular space [e]</t>
  </si>
  <si>
    <t>intracellular space [c]</t>
  </si>
  <si>
    <t>lb</t>
  </si>
  <si>
    <t>ub</t>
  </si>
  <si>
    <t>CID</t>
  </si>
  <si>
    <t>10fthf</t>
  </si>
  <si>
    <t>C00234</t>
  </si>
  <si>
    <t>12dgrEC</t>
  </si>
  <si>
    <t>C95022</t>
  </si>
  <si>
    <t>12ppd-S</t>
  </si>
  <si>
    <t>C02917</t>
  </si>
  <si>
    <t>13dpg</t>
  </si>
  <si>
    <t>C00236</t>
  </si>
  <si>
    <t>15dap</t>
  </si>
  <si>
    <t>C01672</t>
  </si>
  <si>
    <t>1pyr5c</t>
  </si>
  <si>
    <t>C03912</t>
  </si>
  <si>
    <t>23ddhb</t>
  </si>
  <si>
    <t>C04171</t>
  </si>
  <si>
    <t>23dhb</t>
  </si>
  <si>
    <t>C00196</t>
  </si>
  <si>
    <t>23dhba</t>
  </si>
  <si>
    <t>C04030</t>
  </si>
  <si>
    <t>23dhdp</t>
  </si>
  <si>
    <t>C03340</t>
  </si>
  <si>
    <t>23dhmb</t>
  </si>
  <si>
    <t>C04272</t>
  </si>
  <si>
    <t>23dhmp</t>
  </si>
  <si>
    <t>C06007</t>
  </si>
  <si>
    <t>23doguln</t>
  </si>
  <si>
    <t>C04575</t>
  </si>
  <si>
    <t>25aics</t>
  </si>
  <si>
    <t>C04823</t>
  </si>
  <si>
    <t>25dkglcn</t>
  </si>
  <si>
    <t>C02780</t>
  </si>
  <si>
    <t>25drapp</t>
  </si>
  <si>
    <t>C01304</t>
  </si>
  <si>
    <t>26dap-LL</t>
  </si>
  <si>
    <t>C00666</t>
  </si>
  <si>
    <t>26dap-M</t>
  </si>
  <si>
    <t>C00680</t>
  </si>
  <si>
    <t>2ahbut</t>
  </si>
  <si>
    <t>C06006</t>
  </si>
  <si>
    <t>2aobut</t>
  </si>
  <si>
    <t>C03508</t>
  </si>
  <si>
    <t>2cpr5p</t>
  </si>
  <si>
    <t>C01302</t>
  </si>
  <si>
    <t>2dda7p</t>
  </si>
  <si>
    <t>C04691</t>
  </si>
  <si>
    <t>2ddg6p</t>
  </si>
  <si>
    <t>C04442</t>
  </si>
  <si>
    <t>2ddglcn</t>
  </si>
  <si>
    <t>C00204</t>
  </si>
  <si>
    <t>2dh3dgal</t>
  </si>
  <si>
    <t>C01216</t>
  </si>
  <si>
    <t>2dh3dgal6p</t>
  </si>
  <si>
    <t>C01286</t>
  </si>
  <si>
    <t>2dhglcn</t>
  </si>
  <si>
    <t>C95000</t>
  </si>
  <si>
    <t>2dhguln</t>
  </si>
  <si>
    <t>C06473</t>
  </si>
  <si>
    <t>2dhp</t>
  </si>
  <si>
    <t>C00966</t>
  </si>
  <si>
    <t>2dmmq8</t>
  </si>
  <si>
    <t>C99995</t>
  </si>
  <si>
    <t>2dmmql8</t>
  </si>
  <si>
    <t>C99759</t>
  </si>
  <si>
    <t>2dr1p</t>
  </si>
  <si>
    <t>C00672</t>
  </si>
  <si>
    <t>2dr5p</t>
  </si>
  <si>
    <t>C00673</t>
  </si>
  <si>
    <t>2h3oppan</t>
  </si>
  <si>
    <t>C01146</t>
  </si>
  <si>
    <t>2ippm</t>
  </si>
  <si>
    <t>C02631</t>
  </si>
  <si>
    <t>2kmb</t>
  </si>
  <si>
    <t>C01180</t>
  </si>
  <si>
    <t>2mahmp</t>
  </si>
  <si>
    <t>C04752</t>
  </si>
  <si>
    <t>2mcacn</t>
  </si>
  <si>
    <t>C04225</t>
  </si>
  <si>
    <t>2mcit</t>
  </si>
  <si>
    <t>C02225</t>
  </si>
  <si>
    <t>2me4p</t>
  </si>
  <si>
    <t>C11434</t>
  </si>
  <si>
    <t>2mecdp</t>
  </si>
  <si>
    <t>C99645</t>
  </si>
  <si>
    <t>2obut</t>
  </si>
  <si>
    <t>C00109</t>
  </si>
  <si>
    <t>2ohph</t>
  </si>
  <si>
    <t>C05811</t>
  </si>
  <si>
    <t>2ombzl</t>
  </si>
  <si>
    <t>C99764</t>
  </si>
  <si>
    <t>2omhmbl</t>
  </si>
  <si>
    <t>C99765</t>
  </si>
  <si>
    <t>2ommbl</t>
  </si>
  <si>
    <t>C99766</t>
  </si>
  <si>
    <t>2omph</t>
  </si>
  <si>
    <t>C05812</t>
  </si>
  <si>
    <t>2oph</t>
  </si>
  <si>
    <t>C05810</t>
  </si>
  <si>
    <t>2p4c2me</t>
  </si>
  <si>
    <t>C11436</t>
  </si>
  <si>
    <t>2pg</t>
  </si>
  <si>
    <t>C00631</t>
  </si>
  <si>
    <t>2pglyc</t>
  </si>
  <si>
    <t>C00988</t>
  </si>
  <si>
    <t>2shchc</t>
  </si>
  <si>
    <t>C05817</t>
  </si>
  <si>
    <t>34hpp</t>
  </si>
  <si>
    <t>C01179</t>
  </si>
  <si>
    <t>3c2hmp</t>
  </si>
  <si>
    <t>C04411</t>
  </si>
  <si>
    <t>3c3hmp</t>
  </si>
  <si>
    <t>C02504</t>
  </si>
  <si>
    <t>3c4mop</t>
  </si>
  <si>
    <t>C04236</t>
  </si>
  <si>
    <t>3dhguln</t>
  </si>
  <si>
    <t>C00618</t>
  </si>
  <si>
    <t>3dhgulnp</t>
  </si>
  <si>
    <t>C14899</t>
  </si>
  <si>
    <t>3dhq</t>
  </si>
  <si>
    <t>C00944</t>
  </si>
  <si>
    <t>3dhsk</t>
  </si>
  <si>
    <t>C02637</t>
  </si>
  <si>
    <t>3hcinnm</t>
  </si>
  <si>
    <t>C99772</t>
  </si>
  <si>
    <t>3hmrsACP</t>
  </si>
  <si>
    <t>C99972</t>
  </si>
  <si>
    <t>3hpppn</t>
  </si>
  <si>
    <t>C11457</t>
  </si>
  <si>
    <t>3ig3p</t>
  </si>
  <si>
    <t>C03506</t>
  </si>
  <si>
    <t>3mob</t>
  </si>
  <si>
    <t>C00141</t>
  </si>
  <si>
    <t>3mop</t>
  </si>
  <si>
    <t>C00671</t>
  </si>
  <si>
    <t>3ophb</t>
  </si>
  <si>
    <t>C05809</t>
  </si>
  <si>
    <t>3pg</t>
  </si>
  <si>
    <t>C00197</t>
  </si>
  <si>
    <t>3php</t>
  </si>
  <si>
    <t>C03232</t>
  </si>
  <si>
    <t>3psme</t>
  </si>
  <si>
    <t>C01269</t>
  </si>
  <si>
    <t>4abut</t>
  </si>
  <si>
    <t>C00334</t>
  </si>
  <si>
    <t>4abutn</t>
  </si>
  <si>
    <t>C00555</t>
  </si>
  <si>
    <t>4abz</t>
  </si>
  <si>
    <t>C00568</t>
  </si>
  <si>
    <t>4adcho</t>
  </si>
  <si>
    <t>C11355</t>
  </si>
  <si>
    <t>4ahmmp</t>
  </si>
  <si>
    <t>C01279</t>
  </si>
  <si>
    <t>4ampm</t>
  </si>
  <si>
    <t>C04556</t>
  </si>
  <si>
    <t>4c2me</t>
  </si>
  <si>
    <t>C11435</t>
  </si>
  <si>
    <t>4h2opntn</t>
  </si>
  <si>
    <t>C03589</t>
  </si>
  <si>
    <t>4hba</t>
  </si>
  <si>
    <t>C95002</t>
  </si>
  <si>
    <t>4hbz</t>
  </si>
  <si>
    <t>C00156</t>
  </si>
  <si>
    <t>4hthr</t>
  </si>
  <si>
    <t>C06056</t>
  </si>
  <si>
    <t>4mhetz</t>
  </si>
  <si>
    <t>C04294</t>
  </si>
  <si>
    <t>4mop</t>
  </si>
  <si>
    <t>C00233</t>
  </si>
  <si>
    <t>4mpetz</t>
  </si>
  <si>
    <t>C04327</t>
  </si>
  <si>
    <t>4pasp</t>
  </si>
  <si>
    <t>C03082</t>
  </si>
  <si>
    <t>4per</t>
  </si>
  <si>
    <t>C03393</t>
  </si>
  <si>
    <t>4ppan</t>
  </si>
  <si>
    <t>C03492</t>
  </si>
  <si>
    <t>4ppcys</t>
  </si>
  <si>
    <t>C04352</t>
  </si>
  <si>
    <t>4r5au</t>
  </si>
  <si>
    <t>C04732</t>
  </si>
  <si>
    <t>5aizc</t>
  </si>
  <si>
    <t>C04751</t>
  </si>
  <si>
    <t>5aop</t>
  </si>
  <si>
    <t>C00430</t>
  </si>
  <si>
    <t>5aprbu</t>
  </si>
  <si>
    <t>C04454</t>
  </si>
  <si>
    <t>5apru</t>
  </si>
  <si>
    <t>C01268</t>
  </si>
  <si>
    <t>5caiz</t>
  </si>
  <si>
    <t>C15667</t>
  </si>
  <si>
    <t>5dglcn</t>
  </si>
  <si>
    <t>C01062</t>
  </si>
  <si>
    <t>5dh4dglc</t>
  </si>
  <si>
    <t>C00679</t>
  </si>
  <si>
    <t>5mdr1p</t>
  </si>
  <si>
    <t>C04188</t>
  </si>
  <si>
    <t>5mdru1p</t>
  </si>
  <si>
    <t>C04582</t>
  </si>
  <si>
    <t>5mta</t>
  </si>
  <si>
    <t>C00170</t>
  </si>
  <si>
    <t>5mthf</t>
  </si>
  <si>
    <t>C00440</t>
  </si>
  <si>
    <t>5mtr</t>
  </si>
  <si>
    <t>C03089</t>
  </si>
  <si>
    <t>5prdmbz</t>
  </si>
  <si>
    <t>C04778</t>
  </si>
  <si>
    <t>6hmhpt</t>
  </si>
  <si>
    <t>C99775</t>
  </si>
  <si>
    <t>6hmhptpp</t>
  </si>
  <si>
    <t>C99776</t>
  </si>
  <si>
    <t>6pgc</t>
  </si>
  <si>
    <t>C00345</t>
  </si>
  <si>
    <t>6pgl</t>
  </si>
  <si>
    <t>C01236</t>
  </si>
  <si>
    <t>8aonn</t>
  </si>
  <si>
    <t>C01092</t>
  </si>
  <si>
    <t>ACP</t>
  </si>
  <si>
    <t>C99960</t>
  </si>
  <si>
    <t>N1aspmd</t>
  </si>
  <si>
    <t>C00612</t>
  </si>
  <si>
    <t>aacald</t>
  </si>
  <si>
    <t>C06735</t>
  </si>
  <si>
    <t>aacoa</t>
  </si>
  <si>
    <t>C00332</t>
  </si>
  <si>
    <t>ac</t>
  </si>
  <si>
    <t>C00033</t>
  </si>
  <si>
    <t>acACP</t>
  </si>
  <si>
    <t>C99966</t>
  </si>
  <si>
    <t>acac</t>
  </si>
  <si>
    <t>C00164</t>
  </si>
  <si>
    <t>acald</t>
  </si>
  <si>
    <t>C00084</t>
  </si>
  <si>
    <t>accoa</t>
  </si>
  <si>
    <t>C00024</t>
  </si>
  <si>
    <t>acg5p</t>
  </si>
  <si>
    <t>C04133</t>
  </si>
  <si>
    <t>acg5sa</t>
  </si>
  <si>
    <t>C01250</t>
  </si>
  <si>
    <t>acgam</t>
  </si>
  <si>
    <t>C00140</t>
  </si>
  <si>
    <t>acgam1p</t>
  </si>
  <si>
    <t>C04256</t>
  </si>
  <si>
    <t>acgam6p</t>
  </si>
  <si>
    <t>C00357</t>
  </si>
  <si>
    <t>acglu</t>
  </si>
  <si>
    <t>C00624</t>
  </si>
  <si>
    <t>acmana</t>
  </si>
  <si>
    <t>C00645</t>
  </si>
  <si>
    <t>acmanap</t>
  </si>
  <si>
    <t>C04257</t>
  </si>
  <si>
    <t>acnam</t>
  </si>
  <si>
    <t>C00270</t>
  </si>
  <si>
    <t>acon-T</t>
  </si>
  <si>
    <t>C02341</t>
  </si>
  <si>
    <t>aconm</t>
  </si>
  <si>
    <t>C11514</t>
  </si>
  <si>
    <t>acorn</t>
  </si>
  <si>
    <t>C00437</t>
  </si>
  <si>
    <t>acser</t>
  </si>
  <si>
    <t>C00979</t>
  </si>
  <si>
    <t>actACP</t>
  </si>
  <si>
    <t>C99974</t>
  </si>
  <si>
    <t>actp</t>
  </si>
  <si>
    <t>C00227</t>
  </si>
  <si>
    <t>ade</t>
  </si>
  <si>
    <t>C00147</t>
  </si>
  <si>
    <t>adn</t>
  </si>
  <si>
    <t>C00212</t>
  </si>
  <si>
    <t>adocbi</t>
  </si>
  <si>
    <t>C06508</t>
  </si>
  <si>
    <t>adocbip</t>
  </si>
  <si>
    <t>C06509</t>
  </si>
  <si>
    <t>adocbl</t>
  </si>
  <si>
    <t>C00194</t>
  </si>
  <si>
    <t>adp</t>
  </si>
  <si>
    <t>C00008</t>
  </si>
  <si>
    <t>adpglc</t>
  </si>
  <si>
    <t>C00498</t>
  </si>
  <si>
    <t>adphep-DD</t>
  </si>
  <si>
    <t>C06397</t>
  </si>
  <si>
    <t>adphep-LD</t>
  </si>
  <si>
    <t>C06398</t>
  </si>
  <si>
    <t>agdpcbi</t>
  </si>
  <si>
    <t>C06510</t>
  </si>
  <si>
    <t>agm</t>
  </si>
  <si>
    <t>C00179</t>
  </si>
  <si>
    <t>agpcEC</t>
  </si>
  <si>
    <t>C95003</t>
  </si>
  <si>
    <t>agpeEC</t>
  </si>
  <si>
    <t>C95004</t>
  </si>
  <si>
    <t>agpgEC</t>
  </si>
  <si>
    <t>C95005</t>
  </si>
  <si>
    <t>ahcys</t>
  </si>
  <si>
    <t>C00021</t>
  </si>
  <si>
    <t>ahdt</t>
  </si>
  <si>
    <t>C04895</t>
  </si>
  <si>
    <t>aicar</t>
  </si>
  <si>
    <t>C04677</t>
  </si>
  <si>
    <t>air</t>
  </si>
  <si>
    <t>C03373</t>
  </si>
  <si>
    <t>akg</t>
  </si>
  <si>
    <t>C00026</t>
  </si>
  <si>
    <t>ala-B</t>
  </si>
  <si>
    <t>C00099</t>
  </si>
  <si>
    <t>ala-D</t>
  </si>
  <si>
    <t>C00133</t>
  </si>
  <si>
    <t>ala-L</t>
  </si>
  <si>
    <t>C00041</t>
  </si>
  <si>
    <t>alaala</t>
  </si>
  <si>
    <t>C00993</t>
  </si>
  <si>
    <t>alac-S</t>
  </si>
  <si>
    <t>C06010</t>
  </si>
  <si>
    <t>alltn</t>
  </si>
  <si>
    <t>C01551</t>
  </si>
  <si>
    <t>alltt</t>
  </si>
  <si>
    <t>C00499</t>
  </si>
  <si>
    <t>altrn</t>
  </si>
  <si>
    <t>C00817</t>
  </si>
  <si>
    <t>amet</t>
  </si>
  <si>
    <t>C00019</t>
  </si>
  <si>
    <t>ametam</t>
  </si>
  <si>
    <t>C01137</t>
  </si>
  <si>
    <t>amob</t>
  </si>
  <si>
    <t>C04425</t>
  </si>
  <si>
    <t>amp</t>
  </si>
  <si>
    <t>C00020</t>
  </si>
  <si>
    <t>anth</t>
  </si>
  <si>
    <t>C00108</t>
  </si>
  <si>
    <t>ap4a</t>
  </si>
  <si>
    <t>C01260</t>
  </si>
  <si>
    <t>ap5a</t>
  </si>
  <si>
    <t>C04058</t>
  </si>
  <si>
    <t>apgEC</t>
  </si>
  <si>
    <t>C95006</t>
  </si>
  <si>
    <t>apoACP</t>
  </si>
  <si>
    <t>C03688</t>
  </si>
  <si>
    <t>aps</t>
  </si>
  <si>
    <t>C00224</t>
  </si>
  <si>
    <t>ara5p</t>
  </si>
  <si>
    <t>C01112</t>
  </si>
  <si>
    <t>arab-L</t>
  </si>
  <si>
    <t>C00259</t>
  </si>
  <si>
    <t>arbt6p</t>
  </si>
  <si>
    <t>C06187</t>
  </si>
  <si>
    <t>arg-L</t>
  </si>
  <si>
    <t>C00062</t>
  </si>
  <si>
    <t>argsuc</t>
  </si>
  <si>
    <t>C03406</t>
  </si>
  <si>
    <t>asn-L</t>
  </si>
  <si>
    <t>C00152</t>
  </si>
  <si>
    <t>asp-L</t>
  </si>
  <si>
    <t>C00049</t>
  </si>
  <si>
    <t>aspsa</t>
  </si>
  <si>
    <t>C00441</t>
  </si>
  <si>
    <t>atp</t>
  </si>
  <si>
    <t>C00002</t>
  </si>
  <si>
    <t>bbtcoa</t>
  </si>
  <si>
    <t>C99794</t>
  </si>
  <si>
    <t>betald</t>
  </si>
  <si>
    <t>C00576</t>
  </si>
  <si>
    <t>btcoa</t>
  </si>
  <si>
    <t>C00136</t>
  </si>
  <si>
    <t>btn</t>
  </si>
  <si>
    <t>C00120</t>
  </si>
  <si>
    <t>btnso</t>
  </si>
  <si>
    <t>C99796</t>
  </si>
  <si>
    <t>but</t>
  </si>
  <si>
    <t>C00246</t>
  </si>
  <si>
    <t>camp</t>
  </si>
  <si>
    <t>C00575</t>
  </si>
  <si>
    <t>cbasp</t>
  </si>
  <si>
    <t>C00438</t>
  </si>
  <si>
    <t>cbi</t>
  </si>
  <si>
    <t>C05774</t>
  </si>
  <si>
    <t>cbl1</t>
  </si>
  <si>
    <t>C00853</t>
  </si>
  <si>
    <t>cbp</t>
  </si>
  <si>
    <t>C00169</t>
  </si>
  <si>
    <t>cdp</t>
  </si>
  <si>
    <t>C00112</t>
  </si>
  <si>
    <t>cdpdag1</t>
  </si>
  <si>
    <t>C95007</t>
  </si>
  <si>
    <t>cdpea</t>
  </si>
  <si>
    <t>C00570</t>
  </si>
  <si>
    <t>cechddd</t>
  </si>
  <si>
    <t>C99806</t>
  </si>
  <si>
    <t>cenchddd</t>
  </si>
  <si>
    <t>C12622</t>
  </si>
  <si>
    <t>chol</t>
  </si>
  <si>
    <t>C00114</t>
  </si>
  <si>
    <t>chor</t>
  </si>
  <si>
    <t>C00251</t>
  </si>
  <si>
    <t>cinnm</t>
  </si>
  <si>
    <t>C00423</t>
  </si>
  <si>
    <t>cit</t>
  </si>
  <si>
    <t>C00158</t>
  </si>
  <si>
    <t>citr-L</t>
  </si>
  <si>
    <t>C00327</t>
  </si>
  <si>
    <t>ckdo</t>
  </si>
  <si>
    <t>C99808</t>
  </si>
  <si>
    <t>clpnEC</t>
  </si>
  <si>
    <t>C95008</t>
  </si>
  <si>
    <t>cmp</t>
  </si>
  <si>
    <t>C00055</t>
  </si>
  <si>
    <t>co2tot</t>
  </si>
  <si>
    <t>coa</t>
  </si>
  <si>
    <t>C00010</t>
  </si>
  <si>
    <t>cpppg3</t>
  </si>
  <si>
    <t>C03263</t>
  </si>
  <si>
    <t>crn</t>
  </si>
  <si>
    <t>C00318</t>
  </si>
  <si>
    <t>crncoa</t>
  </si>
  <si>
    <t>C99816</t>
  </si>
  <si>
    <t>csn</t>
  </si>
  <si>
    <t>C00380</t>
  </si>
  <si>
    <t>ctbt</t>
  </si>
  <si>
    <t>C04114</t>
  </si>
  <si>
    <t>ctbtcoa</t>
  </si>
  <si>
    <t>C99818</t>
  </si>
  <si>
    <t>ctp</t>
  </si>
  <si>
    <t>C00063</t>
  </si>
  <si>
    <t>cyan</t>
  </si>
  <si>
    <t>C01326</t>
  </si>
  <si>
    <t>cynt</t>
  </si>
  <si>
    <t>C01417</t>
  </si>
  <si>
    <t>cys-L</t>
  </si>
  <si>
    <t>C00097</t>
  </si>
  <si>
    <t>cyst-L</t>
  </si>
  <si>
    <t>C02291</t>
  </si>
  <si>
    <t>cytd</t>
  </si>
  <si>
    <t>C00475</t>
  </si>
  <si>
    <t>dad-2</t>
  </si>
  <si>
    <t>C00559</t>
  </si>
  <si>
    <t>dadp</t>
  </si>
  <si>
    <t>C00206</t>
  </si>
  <si>
    <t>damp</t>
  </si>
  <si>
    <t>C00360</t>
  </si>
  <si>
    <t>dann</t>
  </si>
  <si>
    <t>C01037</t>
  </si>
  <si>
    <t>datp</t>
  </si>
  <si>
    <t>C00131</t>
  </si>
  <si>
    <t>db4p</t>
  </si>
  <si>
    <t>C15556</t>
  </si>
  <si>
    <t>dcamp</t>
  </si>
  <si>
    <t>C03794</t>
  </si>
  <si>
    <t>dcdp</t>
  </si>
  <si>
    <t>C00705</t>
  </si>
  <si>
    <t>dcmp</t>
  </si>
  <si>
    <t>C00239</t>
  </si>
  <si>
    <t>dctp</t>
  </si>
  <si>
    <t>C00458</t>
  </si>
  <si>
    <t>dcyt</t>
  </si>
  <si>
    <t>C00881</t>
  </si>
  <si>
    <t>ddcaACP</t>
  </si>
  <si>
    <t>C99973</t>
  </si>
  <si>
    <t>dgdp</t>
  </si>
  <si>
    <t>C00361</t>
  </si>
  <si>
    <t>dgmp</t>
  </si>
  <si>
    <t>C00362</t>
  </si>
  <si>
    <t>dgsn</t>
  </si>
  <si>
    <t>C00330</t>
  </si>
  <si>
    <t>dgtp</t>
  </si>
  <si>
    <t>C00286</t>
  </si>
  <si>
    <t>dha</t>
  </si>
  <si>
    <t>C00184</t>
  </si>
  <si>
    <t>dhap</t>
  </si>
  <si>
    <t>C00111</t>
  </si>
  <si>
    <t>dhcinnm</t>
  </si>
  <si>
    <t>C12623</t>
  </si>
  <si>
    <t>dhf</t>
  </si>
  <si>
    <t>C00415</t>
  </si>
  <si>
    <t>dhna</t>
  </si>
  <si>
    <t>C03657</t>
  </si>
  <si>
    <t>dhnpt</t>
  </si>
  <si>
    <t>C04874</t>
  </si>
  <si>
    <t>dhor-S</t>
  </si>
  <si>
    <t>C00337</t>
  </si>
  <si>
    <t>dhpmp</t>
  </si>
  <si>
    <t>C05925</t>
  </si>
  <si>
    <t>dhpppn</t>
  </si>
  <si>
    <t>C04044</t>
  </si>
  <si>
    <t>dhpt</t>
  </si>
  <si>
    <t>C00921</t>
  </si>
  <si>
    <t>dhptd</t>
  </si>
  <si>
    <t>C11838</t>
  </si>
  <si>
    <t>din</t>
  </si>
  <si>
    <t>C05512</t>
  </si>
  <si>
    <t>dkmpp</t>
  </si>
  <si>
    <t>C15650</t>
  </si>
  <si>
    <t>dmbzid</t>
  </si>
  <si>
    <t>C03114</t>
  </si>
  <si>
    <t>dmlz</t>
  </si>
  <si>
    <t>C04332</t>
  </si>
  <si>
    <t>dmpp</t>
  </si>
  <si>
    <t>C00235</t>
  </si>
  <si>
    <t>dms</t>
  </si>
  <si>
    <t>C00580</t>
  </si>
  <si>
    <t>dmso</t>
  </si>
  <si>
    <t>C11143</t>
  </si>
  <si>
    <t>dnad</t>
  </si>
  <si>
    <t>C00857</t>
  </si>
  <si>
    <t>dpcoa</t>
  </si>
  <si>
    <t>C00882</t>
  </si>
  <si>
    <t>dtbt</t>
  </si>
  <si>
    <t>C01909</t>
  </si>
  <si>
    <t>dtdp</t>
  </si>
  <si>
    <t>C00363</t>
  </si>
  <si>
    <t>dtdp4aaddg</t>
  </si>
  <si>
    <t>C99824</t>
  </si>
  <si>
    <t>dtdp4addg</t>
  </si>
  <si>
    <t>C04268</t>
  </si>
  <si>
    <t>dtdp4d6dg</t>
  </si>
  <si>
    <t>C99655</t>
  </si>
  <si>
    <t>dtdp4d6dm</t>
  </si>
  <si>
    <t>C00688</t>
  </si>
  <si>
    <t>dtdpglu</t>
  </si>
  <si>
    <t>C00842</t>
  </si>
  <si>
    <t>dtdprmn</t>
  </si>
  <si>
    <t>C03319</t>
  </si>
  <si>
    <t>dtmp</t>
  </si>
  <si>
    <t>C00364</t>
  </si>
  <si>
    <t>dttp</t>
  </si>
  <si>
    <t>C00459</t>
  </si>
  <si>
    <t>dudp</t>
  </si>
  <si>
    <t>C01346</t>
  </si>
  <si>
    <t>dump</t>
  </si>
  <si>
    <t>C00365</t>
  </si>
  <si>
    <t>duri</t>
  </si>
  <si>
    <t>C00526</t>
  </si>
  <si>
    <t>dutp</t>
  </si>
  <si>
    <t>C00460</t>
  </si>
  <si>
    <t>dxyl</t>
  </si>
  <si>
    <t>C06257</t>
  </si>
  <si>
    <t>dxyl5p</t>
  </si>
  <si>
    <t>C11437</t>
  </si>
  <si>
    <t>e4p</t>
  </si>
  <si>
    <t>C00279</t>
  </si>
  <si>
    <t>ecaEC</t>
  </si>
  <si>
    <t>C95010</t>
  </si>
  <si>
    <t>eig3p</t>
  </si>
  <si>
    <t>C04666</t>
  </si>
  <si>
    <t>enter</t>
  </si>
  <si>
    <t>C05821</t>
  </si>
  <si>
    <t>etha</t>
  </si>
  <si>
    <t>C00189</t>
  </si>
  <si>
    <t>etoh</t>
  </si>
  <si>
    <t>C00469</t>
  </si>
  <si>
    <t>f1p</t>
  </si>
  <si>
    <t>C01094</t>
  </si>
  <si>
    <t>f6p</t>
  </si>
  <si>
    <t>C00085</t>
  </si>
  <si>
    <t>fad</t>
  </si>
  <si>
    <t>C00016</t>
  </si>
  <si>
    <t>fadh2</t>
  </si>
  <si>
    <t>C01352</t>
  </si>
  <si>
    <t>fc1p</t>
  </si>
  <si>
    <t>C01099</t>
  </si>
  <si>
    <t>fcl-L</t>
  </si>
  <si>
    <t>C01721</t>
  </si>
  <si>
    <t>fdp</t>
  </si>
  <si>
    <t>C00354</t>
  </si>
  <si>
    <t>fe2</t>
  </si>
  <si>
    <t>C14818</t>
  </si>
  <si>
    <t>fgam</t>
  </si>
  <si>
    <t>C04376</t>
  </si>
  <si>
    <t>fmn</t>
  </si>
  <si>
    <t>C00061</t>
  </si>
  <si>
    <t>for</t>
  </si>
  <si>
    <t>C00058</t>
  </si>
  <si>
    <t>fpram</t>
  </si>
  <si>
    <t>C04640</t>
  </si>
  <si>
    <t>fprica</t>
  </si>
  <si>
    <t>C04734</t>
  </si>
  <si>
    <t>frdp</t>
  </si>
  <si>
    <t>C00448</t>
  </si>
  <si>
    <t>fru</t>
  </si>
  <si>
    <t>C00095</t>
  </si>
  <si>
    <t>fruur</t>
  </si>
  <si>
    <t>C00905</t>
  </si>
  <si>
    <t>fuc-L</t>
  </si>
  <si>
    <t>C01019</t>
  </si>
  <si>
    <t>fuc1p-L</t>
  </si>
  <si>
    <t>C02985</t>
  </si>
  <si>
    <t>fum</t>
  </si>
  <si>
    <t>C00122</t>
  </si>
  <si>
    <t>g1p</t>
  </si>
  <si>
    <t>C00103</t>
  </si>
  <si>
    <t>g3p</t>
  </si>
  <si>
    <t>C00661</t>
  </si>
  <si>
    <t>g3pc</t>
  </si>
  <si>
    <t>C00670</t>
  </si>
  <si>
    <t>g3pe</t>
  </si>
  <si>
    <t>C01233</t>
  </si>
  <si>
    <t>g3pg</t>
  </si>
  <si>
    <t>C03274</t>
  </si>
  <si>
    <t>g3pi</t>
  </si>
  <si>
    <t>C01225</t>
  </si>
  <si>
    <t>g3ps</t>
  </si>
  <si>
    <t>C99834</t>
  </si>
  <si>
    <t>g6p</t>
  </si>
  <si>
    <t>C00092</t>
  </si>
  <si>
    <t>gal</t>
  </si>
  <si>
    <t>C00124</t>
  </si>
  <si>
    <t>gal1p</t>
  </si>
  <si>
    <t>C00446</t>
  </si>
  <si>
    <t>galct-D</t>
  </si>
  <si>
    <t>C00879</t>
  </si>
  <si>
    <t>galctn-D</t>
  </si>
  <si>
    <t>C00880</t>
  </si>
  <si>
    <t>galt</t>
  </si>
  <si>
    <t>C01697</t>
  </si>
  <si>
    <t>galt1p</t>
  </si>
  <si>
    <t>C06311</t>
  </si>
  <si>
    <t>galur</t>
  </si>
  <si>
    <t>C00333</t>
  </si>
  <si>
    <t>gam</t>
  </si>
  <si>
    <t>C00329</t>
  </si>
  <si>
    <t>gam1p</t>
  </si>
  <si>
    <t>C06156</t>
  </si>
  <si>
    <t>gam6p</t>
  </si>
  <si>
    <t>C00352</t>
  </si>
  <si>
    <t>gar</t>
  </si>
  <si>
    <t>C03838</t>
  </si>
  <si>
    <t>gbbtn</t>
  </si>
  <si>
    <t>C01181</t>
  </si>
  <si>
    <t>gcald</t>
  </si>
  <si>
    <t>C00266</t>
  </si>
  <si>
    <t>gdp</t>
  </si>
  <si>
    <t>C00035</t>
  </si>
  <si>
    <t>gdpddman</t>
  </si>
  <si>
    <t>C01222</t>
  </si>
  <si>
    <t>gdpfuc</t>
  </si>
  <si>
    <t>C00325</t>
  </si>
  <si>
    <t>gdpmann</t>
  </si>
  <si>
    <t>C00096</t>
  </si>
  <si>
    <t>gdpofuc</t>
  </si>
  <si>
    <t>C99837</t>
  </si>
  <si>
    <t>glc-D</t>
  </si>
  <si>
    <t>C00031</t>
  </si>
  <si>
    <t>glcn</t>
  </si>
  <si>
    <t>C00257</t>
  </si>
  <si>
    <t>glcr</t>
  </si>
  <si>
    <t>C00818</t>
  </si>
  <si>
    <t>glcur</t>
  </si>
  <si>
    <t>C00191</t>
  </si>
  <si>
    <t>gln-L</t>
  </si>
  <si>
    <t>C00064</t>
  </si>
  <si>
    <t>glu-D</t>
  </si>
  <si>
    <t>C00217</t>
  </si>
  <si>
    <t>glu-L</t>
  </si>
  <si>
    <t>C00025</t>
  </si>
  <si>
    <t>glu1sa</t>
  </si>
  <si>
    <t>C03741</t>
  </si>
  <si>
    <t>glu5p</t>
  </si>
  <si>
    <t>C03287</t>
  </si>
  <si>
    <t>glu5sa</t>
  </si>
  <si>
    <t>C01165</t>
  </si>
  <si>
    <t>glucys</t>
  </si>
  <si>
    <t>C00669</t>
  </si>
  <si>
    <t>glutrna</t>
  </si>
  <si>
    <t>C02987</t>
  </si>
  <si>
    <t>glx</t>
  </si>
  <si>
    <t>C00048</t>
  </si>
  <si>
    <t>gly</t>
  </si>
  <si>
    <t>C00037</t>
  </si>
  <si>
    <t>glyald</t>
  </si>
  <si>
    <t>C00577</t>
  </si>
  <si>
    <t>glyb</t>
  </si>
  <si>
    <t>C00719</t>
  </si>
  <si>
    <t>glyc</t>
  </si>
  <si>
    <t>C00116</t>
  </si>
  <si>
    <t>glyc-R</t>
  </si>
  <si>
    <t>C00258</t>
  </si>
  <si>
    <t>glyc3p</t>
  </si>
  <si>
    <t>C00093</t>
  </si>
  <si>
    <t>glyclt</t>
  </si>
  <si>
    <t>C00160</t>
  </si>
  <si>
    <t>glycogen</t>
  </si>
  <si>
    <t>C00182</t>
  </si>
  <si>
    <t>gmhep17bp</t>
  </si>
  <si>
    <t>C11472</t>
  </si>
  <si>
    <t>gmhep1p</t>
  </si>
  <si>
    <t>C07838</t>
  </si>
  <si>
    <t>gmhep7p</t>
  </si>
  <si>
    <t>C07836</t>
  </si>
  <si>
    <t>gmp</t>
  </si>
  <si>
    <t>C00144</t>
  </si>
  <si>
    <t>gp4g</t>
  </si>
  <si>
    <t>C01261</t>
  </si>
  <si>
    <t>grdp</t>
  </si>
  <si>
    <t>C00341</t>
  </si>
  <si>
    <t>gsn</t>
  </si>
  <si>
    <t>C00387</t>
  </si>
  <si>
    <t>gthox</t>
  </si>
  <si>
    <t>C00127</t>
  </si>
  <si>
    <t>gthrd</t>
  </si>
  <si>
    <t>C00051</t>
  </si>
  <si>
    <t>gtp</t>
  </si>
  <si>
    <t>C00044</t>
  </si>
  <si>
    <t>gtspmd</t>
  </si>
  <si>
    <t>C05730</t>
  </si>
  <si>
    <t>gua</t>
  </si>
  <si>
    <t>C00242</t>
  </si>
  <si>
    <t>h2</t>
  </si>
  <si>
    <t>C00282</t>
  </si>
  <si>
    <t>h2mb4p</t>
  </si>
  <si>
    <t>C11811</t>
  </si>
  <si>
    <t>h2o</t>
  </si>
  <si>
    <t>C00001</t>
  </si>
  <si>
    <t>h2o2</t>
  </si>
  <si>
    <t>C00027</t>
  </si>
  <si>
    <t>h2s</t>
  </si>
  <si>
    <t>C00283</t>
  </si>
  <si>
    <t>hcys-L</t>
  </si>
  <si>
    <t>C00155</t>
  </si>
  <si>
    <t>hdca</t>
  </si>
  <si>
    <t>C00249</t>
  </si>
  <si>
    <t>hdcea</t>
  </si>
  <si>
    <t>C08362</t>
  </si>
  <si>
    <t>hdeACP</t>
  </si>
  <si>
    <t>C99684</t>
  </si>
  <si>
    <t>hemeO</t>
  </si>
  <si>
    <t>C15672</t>
  </si>
  <si>
    <t>his-L</t>
  </si>
  <si>
    <t>C00135</t>
  </si>
  <si>
    <t>hisp</t>
  </si>
  <si>
    <t>C01100</t>
  </si>
  <si>
    <t>histd</t>
  </si>
  <si>
    <t>C00860</t>
  </si>
  <si>
    <t>hkndd</t>
  </si>
  <si>
    <t>C04479</t>
  </si>
  <si>
    <t>hkntd</t>
  </si>
  <si>
    <t>C12624</t>
  </si>
  <si>
    <t>hmbil</t>
  </si>
  <si>
    <t>C01024</t>
  </si>
  <si>
    <t>hmfurn</t>
  </si>
  <si>
    <t>C95011</t>
  </si>
  <si>
    <t>hom-L</t>
  </si>
  <si>
    <t>C00263</t>
  </si>
  <si>
    <t>hpyr</t>
  </si>
  <si>
    <t>C00168</t>
  </si>
  <si>
    <t>hqn</t>
  </si>
  <si>
    <t>C00530</t>
  </si>
  <si>
    <t>hxan</t>
  </si>
  <si>
    <t>C00262</t>
  </si>
  <si>
    <t>iasp</t>
  </si>
  <si>
    <t>C05840</t>
  </si>
  <si>
    <t>ichor</t>
  </si>
  <si>
    <t>C00885</t>
  </si>
  <si>
    <t>icit</t>
  </si>
  <si>
    <t>C00311</t>
  </si>
  <si>
    <t>idon-L</t>
  </si>
  <si>
    <t>C00770</t>
  </si>
  <si>
    <t>idp</t>
  </si>
  <si>
    <t>C00104</t>
  </si>
  <si>
    <t>ile-L</t>
  </si>
  <si>
    <t>C00407</t>
  </si>
  <si>
    <t>imacp</t>
  </si>
  <si>
    <t>C01267</t>
  </si>
  <si>
    <t>imp</t>
  </si>
  <si>
    <t>C00130</t>
  </si>
  <si>
    <t>indole</t>
  </si>
  <si>
    <t>C00463</t>
  </si>
  <si>
    <t>inost</t>
  </si>
  <si>
    <t>C00137</t>
  </si>
  <si>
    <t>ins</t>
  </si>
  <si>
    <t>C00294</t>
  </si>
  <si>
    <t>ipdp</t>
  </si>
  <si>
    <t>C00129</t>
  </si>
  <si>
    <t>itp</t>
  </si>
  <si>
    <t>C00081</t>
  </si>
  <si>
    <t>k</t>
  </si>
  <si>
    <t>C00238</t>
  </si>
  <si>
    <t>kdo</t>
  </si>
  <si>
    <t>C01187</t>
  </si>
  <si>
    <t>kdo2lipid4</t>
  </si>
  <si>
    <t>C06025</t>
  </si>
  <si>
    <t>kdo2lipid4L</t>
  </si>
  <si>
    <t>C06251</t>
  </si>
  <si>
    <t>kdo2lipid4p</t>
  </si>
  <si>
    <t>C99851</t>
  </si>
  <si>
    <t>kdo8p</t>
  </si>
  <si>
    <t>C04478</t>
  </si>
  <si>
    <t>kdolipid4</t>
  </si>
  <si>
    <t>C06024</t>
  </si>
  <si>
    <t>lac-D</t>
  </si>
  <si>
    <t>C00256</t>
  </si>
  <si>
    <t>lac-L</t>
  </si>
  <si>
    <t>C00186</t>
  </si>
  <si>
    <t>lald-L</t>
  </si>
  <si>
    <t>C00424</t>
  </si>
  <si>
    <t>lcts</t>
  </si>
  <si>
    <t>C00243</t>
  </si>
  <si>
    <t>leu-L</t>
  </si>
  <si>
    <t>C00123</t>
  </si>
  <si>
    <t>lgt-S</t>
  </si>
  <si>
    <t>C03451</t>
  </si>
  <si>
    <t>lipa</t>
  </si>
  <si>
    <t>C06026</t>
  </si>
  <si>
    <t>lipa_cold</t>
  </si>
  <si>
    <t>C99856</t>
  </si>
  <si>
    <t>lipidA</t>
  </si>
  <si>
    <t>C99857</t>
  </si>
  <si>
    <t>lipidAds</t>
  </si>
  <si>
    <t>C04932</t>
  </si>
  <si>
    <t>lipidX</t>
  </si>
  <si>
    <t>C04824</t>
  </si>
  <si>
    <t>lpsEC</t>
  </si>
  <si>
    <t>C95012</t>
  </si>
  <si>
    <t>lys-L</t>
  </si>
  <si>
    <t>C00047</t>
  </si>
  <si>
    <t>mal-L</t>
  </si>
  <si>
    <t>C00149</t>
  </si>
  <si>
    <t>malACP</t>
  </si>
  <si>
    <t>C99964</t>
  </si>
  <si>
    <t>malcoa</t>
  </si>
  <si>
    <t>C00083</t>
  </si>
  <si>
    <t>malt</t>
  </si>
  <si>
    <t>C00208</t>
  </si>
  <si>
    <t>malt6p</t>
  </si>
  <si>
    <t>C02995</t>
  </si>
  <si>
    <t>malthp</t>
  </si>
  <si>
    <t>C99859</t>
  </si>
  <si>
    <t>malthx</t>
  </si>
  <si>
    <t>C01936</t>
  </si>
  <si>
    <t>maltpt</t>
  </si>
  <si>
    <t>C99860</t>
  </si>
  <si>
    <t>malttr</t>
  </si>
  <si>
    <t>C01835</t>
  </si>
  <si>
    <t>maltttr</t>
  </si>
  <si>
    <t>C02052</t>
  </si>
  <si>
    <t>man</t>
  </si>
  <si>
    <t>C00159</t>
  </si>
  <si>
    <t>man1p</t>
  </si>
  <si>
    <t>C00636</t>
  </si>
  <si>
    <t>man6p</t>
  </si>
  <si>
    <t>C00275</t>
  </si>
  <si>
    <t>mana</t>
  </si>
  <si>
    <t>C00514</t>
  </si>
  <si>
    <t>melib</t>
  </si>
  <si>
    <t>C05402</t>
  </si>
  <si>
    <t>met-D</t>
  </si>
  <si>
    <t>C00855</t>
  </si>
  <si>
    <t>met-L</t>
  </si>
  <si>
    <t>C00073</t>
  </si>
  <si>
    <t>methf</t>
  </si>
  <si>
    <t>C00445</t>
  </si>
  <si>
    <t>mi1p-D</t>
  </si>
  <si>
    <t>C01177</t>
  </si>
  <si>
    <t>micit</t>
  </si>
  <si>
    <t>C04593</t>
  </si>
  <si>
    <t>mlthf</t>
  </si>
  <si>
    <t>C00143</t>
  </si>
  <si>
    <t>mmcoa-R</t>
  </si>
  <si>
    <t>C01213</t>
  </si>
  <si>
    <t>mmcoa-S</t>
  </si>
  <si>
    <t>C00683</t>
  </si>
  <si>
    <t>mnl</t>
  </si>
  <si>
    <t>C00392</t>
  </si>
  <si>
    <t>mnl1p</t>
  </si>
  <si>
    <t>C00644</t>
  </si>
  <si>
    <t>mql8</t>
  </si>
  <si>
    <t>C99646</t>
  </si>
  <si>
    <t>mqn8</t>
  </si>
  <si>
    <t>C99647</t>
  </si>
  <si>
    <t>mthgxl</t>
  </si>
  <si>
    <t>C00546</t>
  </si>
  <si>
    <t>myrsACP</t>
  </si>
  <si>
    <t>C99991</t>
  </si>
  <si>
    <t>n8aspmd</t>
  </si>
  <si>
    <t>C01029</t>
  </si>
  <si>
    <t>na1</t>
  </si>
  <si>
    <t>C01330</t>
  </si>
  <si>
    <t>nac</t>
  </si>
  <si>
    <t>C00253</t>
  </si>
  <si>
    <t>nad</t>
  </si>
  <si>
    <t>C00003</t>
  </si>
  <si>
    <t>nadh</t>
  </si>
  <si>
    <t>C00004</t>
  </si>
  <si>
    <t>nadp</t>
  </si>
  <si>
    <t>C00006</t>
  </si>
  <si>
    <t>nadph</t>
  </si>
  <si>
    <t>C00005</t>
  </si>
  <si>
    <t>ncam</t>
  </si>
  <si>
    <t>C00153</t>
  </si>
  <si>
    <t>nh3</t>
  </si>
  <si>
    <t>C00014</t>
  </si>
  <si>
    <t>nicrnt</t>
  </si>
  <si>
    <t>C01185</t>
  </si>
  <si>
    <t>nmn</t>
  </si>
  <si>
    <t>C00455</t>
  </si>
  <si>
    <t>no2</t>
  </si>
  <si>
    <t>C00088</t>
  </si>
  <si>
    <t>no3</t>
  </si>
  <si>
    <t>C00244</t>
  </si>
  <si>
    <t>o2</t>
  </si>
  <si>
    <t>C00007</t>
  </si>
  <si>
    <t>C00704</t>
  </si>
  <si>
    <t>oaa</t>
  </si>
  <si>
    <t>C00036</t>
  </si>
  <si>
    <t>ocdca</t>
  </si>
  <si>
    <t>C01530</t>
  </si>
  <si>
    <t>ocdcea</t>
  </si>
  <si>
    <t>C00712</t>
  </si>
  <si>
    <t>octdp</t>
  </si>
  <si>
    <t>C04146</t>
  </si>
  <si>
    <t>octeACP</t>
  </si>
  <si>
    <t>C99698</t>
  </si>
  <si>
    <t>ohpb</t>
  </si>
  <si>
    <t>C06054</t>
  </si>
  <si>
    <t>op4en</t>
  </si>
  <si>
    <t>C00596</t>
  </si>
  <si>
    <t>orn</t>
  </si>
  <si>
    <t>C01602</t>
  </si>
  <si>
    <t>orot</t>
  </si>
  <si>
    <t>C00295</t>
  </si>
  <si>
    <t>orot5p</t>
  </si>
  <si>
    <t>C01103</t>
  </si>
  <si>
    <t>paEC</t>
  </si>
  <si>
    <t>C95013</t>
  </si>
  <si>
    <t>pac</t>
  </si>
  <si>
    <t>C07086</t>
  </si>
  <si>
    <t>pacald</t>
  </si>
  <si>
    <t>C00601</t>
  </si>
  <si>
    <t>palmACP</t>
  </si>
  <si>
    <t>C99994</t>
  </si>
  <si>
    <t>pan4p</t>
  </si>
  <si>
    <t>C01134</t>
  </si>
  <si>
    <t>pant-R</t>
  </si>
  <si>
    <t>C00522</t>
  </si>
  <si>
    <t>pap</t>
  </si>
  <si>
    <t>C00054</t>
  </si>
  <si>
    <t>paps</t>
  </si>
  <si>
    <t>C00053</t>
  </si>
  <si>
    <t>pcEC</t>
  </si>
  <si>
    <t>C95014</t>
  </si>
  <si>
    <t>pdx5p</t>
  </si>
  <si>
    <t>C00627</t>
  </si>
  <si>
    <t>peEC</t>
  </si>
  <si>
    <t>C95015</t>
  </si>
  <si>
    <t>peamn</t>
  </si>
  <si>
    <t>C05332</t>
  </si>
  <si>
    <t>pep</t>
  </si>
  <si>
    <t>C00074</t>
  </si>
  <si>
    <t>peptidoEC</t>
  </si>
  <si>
    <t>C95016</t>
  </si>
  <si>
    <t>pgEC</t>
  </si>
  <si>
    <t>C95017</t>
  </si>
  <si>
    <t>pgpEC</t>
  </si>
  <si>
    <t>C95018</t>
  </si>
  <si>
    <t>phaccoa</t>
  </si>
  <si>
    <t>C00582</t>
  </si>
  <si>
    <t>phe-L</t>
  </si>
  <si>
    <t>C00079</t>
  </si>
  <si>
    <t>pheme</t>
  </si>
  <si>
    <t>C00032</t>
  </si>
  <si>
    <t>phom</t>
  </si>
  <si>
    <t>C01102</t>
  </si>
  <si>
    <t>phpyr</t>
  </si>
  <si>
    <t>C00166</t>
  </si>
  <si>
    <t>phthr</t>
  </si>
  <si>
    <t>C06055</t>
  </si>
  <si>
    <t>pi</t>
  </si>
  <si>
    <t>C00009</t>
  </si>
  <si>
    <t>pmcoa</t>
  </si>
  <si>
    <t>C95023</t>
  </si>
  <si>
    <t>pnto-R</t>
  </si>
  <si>
    <t>C00864</t>
  </si>
  <si>
    <t>ppa</t>
  </si>
  <si>
    <t>C00163</t>
  </si>
  <si>
    <t>ppap</t>
  </si>
  <si>
    <t>C02876</t>
  </si>
  <si>
    <t>ppbng</t>
  </si>
  <si>
    <t>C00931</t>
  </si>
  <si>
    <t>ppcoa</t>
  </si>
  <si>
    <t>C00100</t>
  </si>
  <si>
    <t>pphn</t>
  </si>
  <si>
    <t>C00254</t>
  </si>
  <si>
    <t>ppi</t>
  </si>
  <si>
    <t>C00013</t>
  </si>
  <si>
    <t>ppp9</t>
  </si>
  <si>
    <t>C02191</t>
  </si>
  <si>
    <t>pppg9</t>
  </si>
  <si>
    <t>C01079</t>
  </si>
  <si>
    <t>pppi</t>
  </si>
  <si>
    <t>C00536</t>
  </si>
  <si>
    <t>pppn</t>
  </si>
  <si>
    <t>C05629</t>
  </si>
  <si>
    <t>pram</t>
  </si>
  <si>
    <t>C03090</t>
  </si>
  <si>
    <t>pran</t>
  </si>
  <si>
    <t>C04302</t>
  </si>
  <si>
    <t>prbamp</t>
  </si>
  <si>
    <t>C02741</t>
  </si>
  <si>
    <t>prbatp</t>
  </si>
  <si>
    <t>C02739</t>
  </si>
  <si>
    <t>prfp</t>
  </si>
  <si>
    <t>C04896</t>
  </si>
  <si>
    <t>prlp</t>
  </si>
  <si>
    <t>C04916</t>
  </si>
  <si>
    <t>pro-L</t>
  </si>
  <si>
    <t>C00148</t>
  </si>
  <si>
    <t>prpp</t>
  </si>
  <si>
    <t>C00119</t>
  </si>
  <si>
    <t>psEC</t>
  </si>
  <si>
    <t>C95019</t>
  </si>
  <si>
    <t>pser-L</t>
  </si>
  <si>
    <t>C01005</t>
  </si>
  <si>
    <t>ptrc</t>
  </si>
  <si>
    <t>C00134</t>
  </si>
  <si>
    <t>pyam5p</t>
  </si>
  <si>
    <t>C00647</t>
  </si>
  <si>
    <t>pydam</t>
  </si>
  <si>
    <t>C00534</t>
  </si>
  <si>
    <t>pydx</t>
  </si>
  <si>
    <t>C00250</t>
  </si>
  <si>
    <t>pydx5p</t>
  </si>
  <si>
    <t>C00018</t>
  </si>
  <si>
    <t>pydxn</t>
  </si>
  <si>
    <t>C00314</t>
  </si>
  <si>
    <t>pyr</t>
  </si>
  <si>
    <t>C00022</t>
  </si>
  <si>
    <t>q8</t>
  </si>
  <si>
    <t>C99649</t>
  </si>
  <si>
    <t>q8h2</t>
  </si>
  <si>
    <t>C99648</t>
  </si>
  <si>
    <t>quln</t>
  </si>
  <si>
    <t>C03722</t>
  </si>
  <si>
    <t>r1p</t>
  </si>
  <si>
    <t>C99654</t>
  </si>
  <si>
    <t>r5p</t>
  </si>
  <si>
    <t>C00117</t>
  </si>
  <si>
    <t>rbl-L</t>
  </si>
  <si>
    <t>C00508</t>
  </si>
  <si>
    <t>rdmbzi</t>
  </si>
  <si>
    <t>C05775</t>
  </si>
  <si>
    <t>rhcys</t>
  </si>
  <si>
    <t>C03539</t>
  </si>
  <si>
    <t>rib-D</t>
  </si>
  <si>
    <t>C00121</t>
  </si>
  <si>
    <t>ribflv</t>
  </si>
  <si>
    <t>C00255</t>
  </si>
  <si>
    <t>rml</t>
  </si>
  <si>
    <t>C00861</t>
  </si>
  <si>
    <t>rml1p</t>
  </si>
  <si>
    <t>C01131</t>
  </si>
  <si>
    <t>rmn</t>
  </si>
  <si>
    <t>C00507</t>
  </si>
  <si>
    <t>ru5p-D</t>
  </si>
  <si>
    <t>C00199</t>
  </si>
  <si>
    <t>ru5p-L</t>
  </si>
  <si>
    <t>C01101</t>
  </si>
  <si>
    <t>s7p</t>
  </si>
  <si>
    <t>C05382</t>
  </si>
  <si>
    <t>sbt-D</t>
  </si>
  <si>
    <t>C00794</t>
  </si>
  <si>
    <t>sbt6p</t>
  </si>
  <si>
    <t>C01096</t>
  </si>
  <si>
    <t>sbzcoa</t>
  </si>
  <si>
    <t>C03160</t>
  </si>
  <si>
    <t>scl</t>
  </si>
  <si>
    <t>C05778</t>
  </si>
  <si>
    <t>seln</t>
  </si>
  <si>
    <t>C01528</t>
  </si>
  <si>
    <t>selnp</t>
  </si>
  <si>
    <t>C05172</t>
  </si>
  <si>
    <t>ser-D</t>
  </si>
  <si>
    <t>C00740</t>
  </si>
  <si>
    <t>ser-L</t>
  </si>
  <si>
    <t>C00065</t>
  </si>
  <si>
    <t>seramp</t>
  </si>
  <si>
    <t>C05820</t>
  </si>
  <si>
    <t>sheme</t>
  </si>
  <si>
    <t>C00748</t>
  </si>
  <si>
    <t>skm</t>
  </si>
  <si>
    <t>C00493</t>
  </si>
  <si>
    <t>skm5p</t>
  </si>
  <si>
    <t>C03175</t>
  </si>
  <si>
    <t>sl26da</t>
  </si>
  <si>
    <t>C04421</t>
  </si>
  <si>
    <t>sl2a6o</t>
  </si>
  <si>
    <t>C04462</t>
  </si>
  <si>
    <t>so3</t>
  </si>
  <si>
    <t>C00094</t>
  </si>
  <si>
    <t>so4</t>
  </si>
  <si>
    <t>C00059</t>
  </si>
  <si>
    <t>spmd</t>
  </si>
  <si>
    <t>C00315</t>
  </si>
  <si>
    <t>srch</t>
  </si>
  <si>
    <t>C95020</t>
  </si>
  <si>
    <t>ssaltpp</t>
  </si>
  <si>
    <t>C95021</t>
  </si>
  <si>
    <t>suc6p</t>
  </si>
  <si>
    <t>C02591</t>
  </si>
  <si>
    <t>sucarg</t>
  </si>
  <si>
    <t>C03296</t>
  </si>
  <si>
    <t>sucbz</t>
  </si>
  <si>
    <t>C02730</t>
  </si>
  <si>
    <t>succ</t>
  </si>
  <si>
    <t>C00042</t>
  </si>
  <si>
    <t>succoa</t>
  </si>
  <si>
    <t>C00091</t>
  </si>
  <si>
    <t>sucglu</t>
  </si>
  <si>
    <t>C05931</t>
  </si>
  <si>
    <t>sucgsa</t>
  </si>
  <si>
    <t>C05932</t>
  </si>
  <si>
    <t>suchms</t>
  </si>
  <si>
    <t>C01118</t>
  </si>
  <si>
    <t>sucorn</t>
  </si>
  <si>
    <t>C03415</t>
  </si>
  <si>
    <t>sucr</t>
  </si>
  <si>
    <t>C00089</t>
  </si>
  <si>
    <t>sucsal</t>
  </si>
  <si>
    <t>C00232</t>
  </si>
  <si>
    <t>tag6p-D</t>
  </si>
  <si>
    <t>C01097</t>
  </si>
  <si>
    <t>tagdp-D</t>
  </si>
  <si>
    <t>C03785</t>
  </si>
  <si>
    <t>tagur</t>
  </si>
  <si>
    <t>C00558</t>
  </si>
  <si>
    <t>tartr-L</t>
  </si>
  <si>
    <t>C00898</t>
  </si>
  <si>
    <t>taur</t>
  </si>
  <si>
    <t>C00245</t>
  </si>
  <si>
    <t>tcynt</t>
  </si>
  <si>
    <t>C01755</t>
  </si>
  <si>
    <t>tdeACP</t>
  </si>
  <si>
    <t>C99713</t>
  </si>
  <si>
    <t>thdp</t>
  </si>
  <si>
    <t>C03972</t>
  </si>
  <si>
    <t>thf</t>
  </si>
  <si>
    <t>C00101</t>
  </si>
  <si>
    <t>thm</t>
  </si>
  <si>
    <t>C00378</t>
  </si>
  <si>
    <t>thmmp</t>
  </si>
  <si>
    <t>C01081</t>
  </si>
  <si>
    <t>thmpp</t>
  </si>
  <si>
    <t>C00068</t>
  </si>
  <si>
    <t>thr-L</t>
  </si>
  <si>
    <t>C00188</t>
  </si>
  <si>
    <t>thym</t>
  </si>
  <si>
    <t>C00178</t>
  </si>
  <si>
    <t>thymd</t>
  </si>
  <si>
    <t>C00214</t>
  </si>
  <si>
    <t>tma</t>
  </si>
  <si>
    <t>C00565</t>
  </si>
  <si>
    <t>tmao</t>
  </si>
  <si>
    <t>C01104</t>
  </si>
  <si>
    <t>trdox</t>
  </si>
  <si>
    <t>C00343</t>
  </si>
  <si>
    <t>trdrd</t>
  </si>
  <si>
    <t>C00342</t>
  </si>
  <si>
    <t>tre</t>
  </si>
  <si>
    <t>C01083</t>
  </si>
  <si>
    <t>tre6p</t>
  </si>
  <si>
    <t>C00689</t>
  </si>
  <si>
    <t>trnaglu</t>
  </si>
  <si>
    <t>C01641</t>
  </si>
  <si>
    <t>trp-L</t>
  </si>
  <si>
    <t>C00078</t>
  </si>
  <si>
    <t>tsul</t>
  </si>
  <si>
    <t>C00320</t>
  </si>
  <si>
    <t>ttdca</t>
  </si>
  <si>
    <t>C06424</t>
  </si>
  <si>
    <t>ttdcea</t>
  </si>
  <si>
    <t>C99903</t>
  </si>
  <si>
    <t>tyr-L</t>
  </si>
  <si>
    <t>C00082</t>
  </si>
  <si>
    <t>u23ga</t>
  </si>
  <si>
    <t>C04652</t>
  </si>
  <si>
    <t>u3aga</t>
  </si>
  <si>
    <t>C04738</t>
  </si>
  <si>
    <t>u3hga</t>
  </si>
  <si>
    <t>C06022</t>
  </si>
  <si>
    <t>uaagmda</t>
  </si>
  <si>
    <t>C05898</t>
  </si>
  <si>
    <t>uaccg</t>
  </si>
  <si>
    <t>C04631</t>
  </si>
  <si>
    <t>uacgam</t>
  </si>
  <si>
    <t>C00043</t>
  </si>
  <si>
    <t>uacmam</t>
  </si>
  <si>
    <t>C01170</t>
  </si>
  <si>
    <t>uacmamu</t>
  </si>
  <si>
    <t>C06240</t>
  </si>
  <si>
    <t>uagmda</t>
  </si>
  <si>
    <t>C05897</t>
  </si>
  <si>
    <t>uama</t>
  </si>
  <si>
    <t>C01212</t>
  </si>
  <si>
    <t>uamag</t>
  </si>
  <si>
    <t>C00692</t>
  </si>
  <si>
    <t>uamr</t>
  </si>
  <si>
    <t>C01050</t>
  </si>
  <si>
    <t>udcpdp</t>
  </si>
  <si>
    <t>C04574</t>
  </si>
  <si>
    <t>udcpp</t>
  </si>
  <si>
    <t>C00348</t>
  </si>
  <si>
    <t>udp</t>
  </si>
  <si>
    <t>C00015</t>
  </si>
  <si>
    <t>udpg</t>
  </si>
  <si>
    <t>C00029</t>
  </si>
  <si>
    <t>udpgal</t>
  </si>
  <si>
    <t>C00052</t>
  </si>
  <si>
    <t>udpgalfur</t>
  </si>
  <si>
    <t>C03733</t>
  </si>
  <si>
    <t>udpglcur</t>
  </si>
  <si>
    <t>C00167</t>
  </si>
  <si>
    <t>ugmd</t>
  </si>
  <si>
    <t>C04877</t>
  </si>
  <si>
    <t>ugmda</t>
  </si>
  <si>
    <t>C04882</t>
  </si>
  <si>
    <t>ump</t>
  </si>
  <si>
    <t>C00105</t>
  </si>
  <si>
    <t>unaga</t>
  </si>
  <si>
    <t>C01289</t>
  </si>
  <si>
    <t>unagamu</t>
  </si>
  <si>
    <t>C99906</t>
  </si>
  <si>
    <t>unagamuf</t>
  </si>
  <si>
    <t>C99907</t>
  </si>
  <si>
    <t>uppg3</t>
  </si>
  <si>
    <t>C01051</t>
  </si>
  <si>
    <t>ura</t>
  </si>
  <si>
    <t>C00106</t>
  </si>
  <si>
    <t>urdglyc</t>
  </si>
  <si>
    <t>C00603</t>
  </si>
  <si>
    <t>urea</t>
  </si>
  <si>
    <t>C00086</t>
  </si>
  <si>
    <t>uri</t>
  </si>
  <si>
    <t>C00299</t>
  </si>
  <si>
    <t>utp</t>
  </si>
  <si>
    <t>C00075</t>
  </si>
  <si>
    <t>val-L</t>
  </si>
  <si>
    <t>C00183</t>
  </si>
  <si>
    <t>xan</t>
  </si>
  <si>
    <t>C00385</t>
  </si>
  <si>
    <t>xmp</t>
  </si>
  <si>
    <t>C00655</t>
  </si>
  <si>
    <t>xtsn</t>
  </si>
  <si>
    <t>C01762</t>
  </si>
  <si>
    <t>xu5p-D</t>
  </si>
  <si>
    <t>C00231</t>
  </si>
  <si>
    <t>xu5p-L</t>
  </si>
  <si>
    <t>C03291</t>
  </si>
  <si>
    <t>xyl-D</t>
  </si>
  <si>
    <t>C00181</t>
  </si>
  <si>
    <t>xylu-D</t>
  </si>
  <si>
    <t>C00310</t>
  </si>
  <si>
    <t>charge</t>
  </si>
  <si>
    <t>electron</t>
  </si>
  <si>
    <t>h</t>
  </si>
  <si>
    <t>C00080</t>
  </si>
  <si>
    <t xml:space="preserve">(4) adpglc[c] + h2o[c]  &lt;=&gt; (4) adp[c] + glycogen[c] </t>
  </si>
  <si>
    <t xml:space="preserve">ckdo[c] + lipidA[c]   &lt;=&gt; cmp[c] + kdolipid4[c] </t>
  </si>
  <si>
    <t xml:space="preserve">glycogen[c] + (4) pi[c]  &lt;=&gt; (4) g1p[c] + h2o[c] </t>
  </si>
  <si>
    <t>ADNt2_0</t>
  </si>
  <si>
    <t>ASPt2_-1</t>
  </si>
  <si>
    <t>ASPt2_-1+1H</t>
  </si>
  <si>
    <t>CYTDt2_0</t>
  </si>
  <si>
    <t>FUMt22_-2</t>
  </si>
  <si>
    <t>FUMt22_-2+2H</t>
  </si>
  <si>
    <t>GUAt_0</t>
  </si>
  <si>
    <t>INSt2_0</t>
  </si>
  <si>
    <t>MALt22_-2</t>
  </si>
  <si>
    <t>MALt22_-2+2H</t>
  </si>
  <si>
    <t>NAt31_1</t>
  </si>
  <si>
    <t>NAt31_1+1H</t>
  </si>
  <si>
    <t>SUCCt22_-2</t>
  </si>
  <si>
    <t>SUCCt22_-2+2H</t>
  </si>
  <si>
    <t>THMDt2_-1</t>
  </si>
  <si>
    <t>THMDt2_0</t>
  </si>
  <si>
    <t>URAt2_0</t>
  </si>
  <si>
    <t>URIt2_-1</t>
  </si>
  <si>
    <t>URIt2_0</t>
  </si>
  <si>
    <t>XANt_0</t>
  </si>
  <si>
    <t>12PPDt_0</t>
  </si>
  <si>
    <t>ABUTt2_0</t>
  </si>
  <si>
    <t>ACACt2_-1</t>
  </si>
  <si>
    <t>ACACt2_-1+1H</t>
  </si>
  <si>
    <t>ACALDt_0</t>
  </si>
  <si>
    <t>ACGApts_0</t>
  </si>
  <si>
    <t>ACMANApts_0</t>
  </si>
  <si>
    <t>ACNAMt2_-1</t>
  </si>
  <si>
    <t>ACNAMt2_-1+1H</t>
  </si>
  <si>
    <t>ACt2r_-1</t>
  </si>
  <si>
    <t>ACt2r_-1+1H</t>
  </si>
  <si>
    <t>ADEt2r_0</t>
  </si>
  <si>
    <t>AKGt2r_-2</t>
  </si>
  <si>
    <t>AKGt2r_-2+2H</t>
  </si>
  <si>
    <t>ALAabc_0</t>
  </si>
  <si>
    <t>ALAt2r_0</t>
  </si>
  <si>
    <t>ALLTNt2r_0</t>
  </si>
  <si>
    <t>ARBabc_0</t>
  </si>
  <si>
    <t>ARBt2r_0</t>
  </si>
  <si>
    <t>ARGabc_1</t>
  </si>
  <si>
    <t>ARGORNt7_1_1</t>
  </si>
  <si>
    <t>ASNabc_0</t>
  </si>
  <si>
    <t>ASNt2r_0</t>
  </si>
  <si>
    <t>ASPabc_-1</t>
  </si>
  <si>
    <t>BUTt2r_-1</t>
  </si>
  <si>
    <t>BUTt2r_-1+1H</t>
  </si>
  <si>
    <t>CADVt_2_1</t>
  </si>
  <si>
    <t>CADVt_-1+1H</t>
  </si>
  <si>
    <t>CBL1abc_-1</t>
  </si>
  <si>
    <t>CHLabc_1</t>
  </si>
  <si>
    <t>CHLt2r_1</t>
  </si>
  <si>
    <t>CHLt2r_1+1H</t>
  </si>
  <si>
    <t>CITt7_-2_-3</t>
  </si>
  <si>
    <t>CITt7_1+1H</t>
  </si>
  <si>
    <t>CO2t_0</t>
  </si>
  <si>
    <t>CRNt7_0_0</t>
  </si>
  <si>
    <t>CSNt2_-1</t>
  </si>
  <si>
    <t>CSNt2_0</t>
  </si>
  <si>
    <t>CYNTt2_-1</t>
  </si>
  <si>
    <t>CYNTt2_-1+1H</t>
  </si>
  <si>
    <t>CYSabc_0</t>
  </si>
  <si>
    <t>DADNt2_0</t>
  </si>
  <si>
    <t>DALAt2r_0</t>
  </si>
  <si>
    <t>DAPabc_0</t>
  </si>
  <si>
    <t>DCYTt2_0</t>
  </si>
  <si>
    <t>DDGLCNt2r_-1</t>
  </si>
  <si>
    <t>DDGLCNt2r_-1+1H</t>
  </si>
  <si>
    <t>DGSNt2_0</t>
  </si>
  <si>
    <t>DHAt_0</t>
  </si>
  <si>
    <t>DINSt2_0</t>
  </si>
  <si>
    <t>D-LACt2_-1</t>
  </si>
  <si>
    <t>D-LACt2_-1+1H</t>
  </si>
  <si>
    <t>DSERt2r_0</t>
  </si>
  <si>
    <t>DURIt2_-1</t>
  </si>
  <si>
    <t>DURIt2_0</t>
  </si>
  <si>
    <t>ETOHt2r_0</t>
  </si>
  <si>
    <t>FE2abc_2</t>
  </si>
  <si>
    <t>FORt_-1</t>
  </si>
  <si>
    <t>FORt_-1+1H</t>
  </si>
  <si>
    <t>FRUpts_0</t>
  </si>
  <si>
    <t>FRUpts2_0</t>
  </si>
  <si>
    <t>FUCPt62_-2_-2</t>
  </si>
  <si>
    <t>FUCPt62_0+2H</t>
  </si>
  <si>
    <t>FUCt_0</t>
  </si>
  <si>
    <t>G6Pt62_-2_-2</t>
  </si>
  <si>
    <t>G6Pt62_0+2H</t>
  </si>
  <si>
    <t>GALabc_0</t>
  </si>
  <si>
    <t>GALCTNt2r_-1</t>
  </si>
  <si>
    <t>GALCTNt2r_-1+1H</t>
  </si>
  <si>
    <t>GALCTt2r_-2</t>
  </si>
  <si>
    <t>GALCTt2r_-2+2H</t>
  </si>
  <si>
    <t>GALt2_0</t>
  </si>
  <si>
    <t>GALTpts_0</t>
  </si>
  <si>
    <t>GALURt2r_-1</t>
  </si>
  <si>
    <t>GALURt2r_-1+1H</t>
  </si>
  <si>
    <t>GAMpts_0</t>
  </si>
  <si>
    <t>GAMpts_1</t>
  </si>
  <si>
    <t>GLCNt2r_-1</t>
  </si>
  <si>
    <t>GLCNt2r_-1+1H</t>
  </si>
  <si>
    <t>GLCpts_0</t>
  </si>
  <si>
    <t>GLCRt2r_-2</t>
  </si>
  <si>
    <t>GLCRt2r_-2+2H</t>
  </si>
  <si>
    <t>GLCt2_0</t>
  </si>
  <si>
    <t>GLCURt2r_-1</t>
  </si>
  <si>
    <t>GLCURt2r_-1+1H</t>
  </si>
  <si>
    <t>GLNabc_0</t>
  </si>
  <si>
    <t>GLUabc_-1</t>
  </si>
  <si>
    <t>GLUABUTt7_0_-1</t>
  </si>
  <si>
    <t>GLUABUTt7_-1+1H</t>
  </si>
  <si>
    <t>GLUt2r_-1</t>
  </si>
  <si>
    <t>GLUt2r_-1+1H</t>
  </si>
  <si>
    <t>GLUt4_-1_1</t>
  </si>
  <si>
    <t>GLYALDt_0</t>
  </si>
  <si>
    <t>GLYBabc_0</t>
  </si>
  <si>
    <t>GLYBt2r_0</t>
  </si>
  <si>
    <t>GLYC3Pabc_-2</t>
  </si>
  <si>
    <t>GLYC3Pt6_-2_-2</t>
  </si>
  <si>
    <t>GLYCLTt2r_-1</t>
  </si>
  <si>
    <t>GLYCLTt2r_-1+1H</t>
  </si>
  <si>
    <t>GLYCt_0</t>
  </si>
  <si>
    <t>GLYt2r_0</t>
  </si>
  <si>
    <t>GSNt2_0</t>
  </si>
  <si>
    <t>HCINNMt2r_-1</t>
  </si>
  <si>
    <t>HCINNMt2r_-1+1H</t>
  </si>
  <si>
    <t>HDCAt2_-1</t>
  </si>
  <si>
    <t>HDCAt2_-1+1H</t>
  </si>
  <si>
    <t>HISabc_0</t>
  </si>
  <si>
    <t>HISt2r_0</t>
  </si>
  <si>
    <t>HPPPNt2r_-1</t>
  </si>
  <si>
    <t>HPPPNt2r_-1+1H</t>
  </si>
  <si>
    <t>HYXNt_0</t>
  </si>
  <si>
    <t>IDONt2r_-1</t>
  </si>
  <si>
    <t>IDONt2r_-1+1H</t>
  </si>
  <si>
    <t>ILEabc_0</t>
  </si>
  <si>
    <t>ILEt2r_0</t>
  </si>
  <si>
    <t>INDOLEt2r_0</t>
  </si>
  <si>
    <t>Kabc_1</t>
  </si>
  <si>
    <t>Kt2r_1</t>
  </si>
  <si>
    <t>Kt2r_1+1H</t>
  </si>
  <si>
    <t>LCTSt_0</t>
  </si>
  <si>
    <t>LEUabc_0</t>
  </si>
  <si>
    <t>LEUt2r_0</t>
  </si>
  <si>
    <t>L-LACt2r_-1</t>
  </si>
  <si>
    <t>L-LACt2r_-1+1H</t>
  </si>
  <si>
    <t>LYSabc_1</t>
  </si>
  <si>
    <t>LYSt2r_1</t>
  </si>
  <si>
    <t>LYSt2r_1+1H</t>
  </si>
  <si>
    <t>MALTabc_0</t>
  </si>
  <si>
    <t>MALTHXabc_0</t>
  </si>
  <si>
    <t>MALTPTabc_0</t>
  </si>
  <si>
    <t>MALTpts_0</t>
  </si>
  <si>
    <t>MALTTRabc_0</t>
  </si>
  <si>
    <t>MALTTTRabc_0</t>
  </si>
  <si>
    <t>MAN6Pt62_-2_-2</t>
  </si>
  <si>
    <t>MAN6Pt62_0+2H</t>
  </si>
  <si>
    <t>MANpts_0</t>
  </si>
  <si>
    <t>MELIBt2_0</t>
  </si>
  <si>
    <t>METabc_0</t>
  </si>
  <si>
    <t>METDabc_0</t>
  </si>
  <si>
    <t>MNLpts_0</t>
  </si>
  <si>
    <t>NACUP_-1</t>
  </si>
  <si>
    <t>NACUP_-1+1H</t>
  </si>
  <si>
    <t>NAt31.5_1</t>
  </si>
  <si>
    <t>NAt31.5_1+2H</t>
  </si>
  <si>
    <t>NH3t_1</t>
  </si>
  <si>
    <t>NH3t_1+1H</t>
  </si>
  <si>
    <t>NMNP_-1</t>
  </si>
  <si>
    <t>NMNP_-1+1H</t>
  </si>
  <si>
    <t>NO2t2r_0</t>
  </si>
  <si>
    <t>NO3t7_0_-1</t>
  </si>
  <si>
    <t>NO3t7_0+1H</t>
  </si>
  <si>
    <t>O2t_0</t>
  </si>
  <si>
    <t>OCDCAt2_-1</t>
  </si>
  <si>
    <t>OCDCAt2_-1+1H</t>
  </si>
  <si>
    <t>ORNabc_1</t>
  </si>
  <si>
    <t>PHEt2r_0</t>
  </si>
  <si>
    <t>PIt2r_-2</t>
  </si>
  <si>
    <t>PIt2r_-2+2H</t>
  </si>
  <si>
    <t>PNTOt4_1_-1</t>
  </si>
  <si>
    <t>PPPNt2r_-1</t>
  </si>
  <si>
    <t>PPPNt2r_-1+1H</t>
  </si>
  <si>
    <t>PROabc_0</t>
  </si>
  <si>
    <t>PROt2r_0</t>
  </si>
  <si>
    <t>PROt4_1_0</t>
  </si>
  <si>
    <t>PROt4_0+1H</t>
  </si>
  <si>
    <t>PTRCabc_2</t>
  </si>
  <si>
    <t>PTRCORNt7_1_2</t>
  </si>
  <si>
    <t>PTRCORNt7_2+1H</t>
  </si>
  <si>
    <t>PTRCt2r_2</t>
  </si>
  <si>
    <t>PTRCt2r_2+2H</t>
  </si>
  <si>
    <t>PYRt2r_-1</t>
  </si>
  <si>
    <t>PYRt2r_-1+1H</t>
  </si>
  <si>
    <t>RIBabc_0</t>
  </si>
  <si>
    <t>RMNt_0</t>
  </si>
  <si>
    <t>SBTpts_0</t>
  </si>
  <si>
    <t>SERt2r_0</t>
  </si>
  <si>
    <t>SERt4_1_0</t>
  </si>
  <si>
    <t>SERt4_0+1H</t>
  </si>
  <si>
    <t>SPMDabc_3</t>
  </si>
  <si>
    <t>SUCCabc_-2</t>
  </si>
  <si>
    <t>SUCCt2b_-2</t>
  </si>
  <si>
    <t>SUCCt2b_-2+2H</t>
  </si>
  <si>
    <t>SUCFUMt_-2_-2</t>
  </si>
  <si>
    <t>SUCpts_0</t>
  </si>
  <si>
    <t>SULabc_-2</t>
  </si>
  <si>
    <t>TARTRt7_-2_-2</t>
  </si>
  <si>
    <t>TAURabc_0</t>
  </si>
  <si>
    <t>THMabc_1</t>
  </si>
  <si>
    <t>THRabc_0</t>
  </si>
  <si>
    <t>THRt2r_0</t>
  </si>
  <si>
    <t>THRt4_1_0</t>
  </si>
  <si>
    <t>THRt4_0+1H</t>
  </si>
  <si>
    <t>TREpts_0</t>
  </si>
  <si>
    <t>TRPt2r_0</t>
  </si>
  <si>
    <t>TSULabc_-2</t>
  </si>
  <si>
    <t>TTDCAt2_-1</t>
  </si>
  <si>
    <t>TTDCAt2_-1+1H</t>
  </si>
  <si>
    <t>TYRt2r_0</t>
  </si>
  <si>
    <t>UREAt_0</t>
  </si>
  <si>
    <t>VALabc_0</t>
  </si>
  <si>
    <t>VALt2r_0</t>
  </si>
  <si>
    <t>XTSNt2r_0</t>
  </si>
  <si>
    <t>XYLabc_0</t>
  </si>
  <si>
    <t>XYLt2_0</t>
  </si>
  <si>
    <t>HYD2pp_-2</t>
  </si>
  <si>
    <t>HYD1pp_-2</t>
  </si>
  <si>
    <t>NO3R2pp_2</t>
  </si>
  <si>
    <t>FDH5pp_-2</t>
  </si>
  <si>
    <t>NO3R1pp_2</t>
  </si>
  <si>
    <t>FDH4pp_-2</t>
  </si>
  <si>
    <t>CYTBO34pp_4</t>
  </si>
  <si>
    <t>NADH17pp_4</t>
  </si>
  <si>
    <t>NADH16pp_4</t>
  </si>
  <si>
    <t>HYD3pp_-2</t>
  </si>
  <si>
    <t>NADH18pp_4</t>
  </si>
  <si>
    <t>DMSOR2pp_0</t>
  </si>
  <si>
    <t>TMAOR2pp_0</t>
  </si>
  <si>
    <t>ATPS4rpp_4</t>
  </si>
  <si>
    <t>NMNt7pp_-1</t>
  </si>
  <si>
    <t>NMNt7pp_0</t>
  </si>
  <si>
    <t>DMSOR1pp_0</t>
  </si>
  <si>
    <t>TMAOR1pp_0</t>
  </si>
  <si>
    <t>THD2pp_2</t>
  </si>
  <si>
    <t>GLCDpp_0</t>
  </si>
  <si>
    <t>CYTBDpp_1</t>
  </si>
  <si>
    <t>PIuabcpp_-2</t>
  </si>
  <si>
    <t xml:space="preserve">acgam[e] + pep[c]  &lt;=&gt; acgam6p[c] + pyr[c] </t>
  </si>
  <si>
    <t xml:space="preserve">acmana[e] + pep[c]  &lt;=&gt; acmanap[c] + pyr[c] </t>
  </si>
  <si>
    <t xml:space="preserve">ala-L[e] + atp[c] + h2o[c]  &lt;=&gt; adp[c] + ala-L[c] + pi[c] </t>
  </si>
  <si>
    <t xml:space="preserve">arab-L[e] + atp[c] + h2o[c]  &lt;=&gt; adp[c] + arab-L[c] + pi[c] </t>
  </si>
  <si>
    <t xml:space="preserve">arg-L[e] + atp[c] + h2o[c]  &lt;=&gt; adp[c] + arg-L[c] + pi[c] </t>
  </si>
  <si>
    <t xml:space="preserve">arg-L[e] + orn[c]  &lt;=&gt; arg-L[c] + orn[e] </t>
  </si>
  <si>
    <t xml:space="preserve">asn-L[e] + atp[c] + h2o[c]  &lt;=&gt; adp[c] + asn-L[c] + pi[c] </t>
  </si>
  <si>
    <t xml:space="preserve">asp-L[e] + atp[c] + h2o[c]  &lt;=&gt; adp[c] + asp-L[c] + pi[c] </t>
  </si>
  <si>
    <t xml:space="preserve">15dap[c] + lys-L[e]  &lt;=&gt; 15dap[e] + lys-L[c] </t>
  </si>
  <si>
    <t xml:space="preserve">atp[c] + cbl1[e] + h2o[c]  &lt;=&gt; adp[c] + cbl1[c] + pi[c] </t>
  </si>
  <si>
    <t xml:space="preserve">atp[c] + chol[e] + h2o[c]  &lt;=&gt; adp[c] + chol[c] + pi[c] </t>
  </si>
  <si>
    <t xml:space="preserve">cit[e] + succ[c]  &lt;=&gt; cit[c] + succ[e] </t>
  </si>
  <si>
    <t xml:space="preserve">crn[e] + gbbtn[c]  &lt;=&gt; crn[c] + gbbtn[e] </t>
  </si>
  <si>
    <t xml:space="preserve">atp[c] + cys-L[e] + h2o[c]  &lt;=&gt; adp[c] + cys-L[c] + pi[c] </t>
  </si>
  <si>
    <t xml:space="preserve">26dap-M[e] + atp[c] + h2o[c]  &lt;=&gt; 26dap-M[c] + adp[c] + pi[c] </t>
  </si>
  <si>
    <t xml:space="preserve">dmso[e] + mql8[c]  &lt;=&gt; dms[e] + h2o[e] + mqn8[c] </t>
  </si>
  <si>
    <t xml:space="preserve">atp[c] + fe2[e] + h2o[c]  &lt;=&gt; adp[c] + fe2[c] + pi[c] </t>
  </si>
  <si>
    <t xml:space="preserve">fru[e] + pep[c]  &lt;=&gt; f1p[c] + pyr[c] </t>
  </si>
  <si>
    <t xml:space="preserve">fru[e] + pep[c]  &lt;=&gt; f6p[c] + pyr[c] </t>
  </si>
  <si>
    <t xml:space="preserve">fuc1p-L[e] + (2) pi[c]  &lt;=&gt; fuc1p-L[c] + (2) pi[e] </t>
  </si>
  <si>
    <t xml:space="preserve">g6p[e] + (2) pi[c]  &lt;=&gt; g6p[c] + (2) pi[e] </t>
  </si>
  <si>
    <t xml:space="preserve">atp[c] + gal[e] + h2o[c]  &lt;=&gt; adp[c] + gal[c] + pi[c] </t>
  </si>
  <si>
    <t xml:space="preserve">galt[e] + pep[c]  &lt;=&gt; galt1p[c] + pyr[c] </t>
  </si>
  <si>
    <t xml:space="preserve">gam[e] + pep[c]  &lt;=&gt; gam6p[c] + pyr[c] </t>
  </si>
  <si>
    <t xml:space="preserve">glc-D[e] + h2o[e] + q8[c]  &lt;=&gt; glcn[e] + q8h2[c] </t>
  </si>
  <si>
    <t xml:space="preserve">glc-D[e] + pep[c]  &lt;=&gt; g6p[c] + pyr[c] </t>
  </si>
  <si>
    <t xml:space="preserve">atp[c] + gln-L[e] + h2o[c]  &lt;=&gt; adp[c] + gln-L[c] + pi[c] </t>
  </si>
  <si>
    <t xml:space="preserve">atp[c] + glu-L[e] + h2o[c]  &lt;=&gt; adp[c] + glu-L[c] + pi[c] </t>
  </si>
  <si>
    <t xml:space="preserve">4abut[c] + glu-L[e]  &lt;=&gt; 4abut[e] + glu-L[c] </t>
  </si>
  <si>
    <t xml:space="preserve">atp[c] + glyb[e] + h2o[c]  &lt;=&gt; adp[c] + glyb[c] + pi[c] </t>
  </si>
  <si>
    <t xml:space="preserve">atp[c] + glyc3p[e] + h2o[c]  &lt;=&gt; adp[c] + glyc3p[c] + pi[c] </t>
  </si>
  <si>
    <t xml:space="preserve">glyc3p[e] + pi[c]  &lt;=&gt; glyc3p[c] + pi[e] </t>
  </si>
  <si>
    <t xml:space="preserve">malt[e] + pep[c]  &lt;=&gt; malt6p[c] + pyr[c] </t>
  </si>
  <si>
    <t xml:space="preserve">man6p[e] + (2) pi[c]  &lt;=&gt; man6p[c] + (2) pi[e] </t>
  </si>
  <si>
    <t xml:space="preserve">man[e] + pep[c]  &lt;=&gt; man6p[c] + pyr[c] </t>
  </si>
  <si>
    <t xml:space="preserve">mnl[e] + pep[c]  &lt;=&gt; mnl1p[c] + pyr[c] </t>
  </si>
  <si>
    <t xml:space="preserve">no2[c] + no3[e]  &lt;=&gt; no2[e] + no3[c] </t>
  </si>
  <si>
    <t xml:space="preserve">orn[c] + ptrc[e]  &lt;=&gt; orn[e] + ptrc[c] </t>
  </si>
  <si>
    <t xml:space="preserve">fum[e] + succ[c]  &lt;=&gt; fum[c] + succ[e] </t>
  </si>
  <si>
    <t xml:space="preserve">succ[c] + tartr-L[e]  &lt;=&gt; succ[e] + tartr-L[c] </t>
  </si>
  <si>
    <t>h2[e] + mqn8[c]  &lt;=&gt; mql8[c]</t>
  </si>
  <si>
    <t>h2[e] + q8[c]  &lt;=&gt; q8h2[c]</t>
  </si>
  <si>
    <t>mql8[c] + no3[c]  &lt;=&gt; h2o[c] + mqn8[c] + no2[c]</t>
  </si>
  <si>
    <t>mqn8[c] + for[e]  &lt;=&gt; mql8[c] + co2tot[e]</t>
  </si>
  <si>
    <t>no3[c] + q8h2[c]  &lt;=&gt; h2o[c] + no2[c] + q8[c]</t>
  </si>
  <si>
    <t>q8[c] + for[e]  &lt;=&gt; q8h2[c] + co2tot[e]</t>
  </si>
  <si>
    <t>(0.5) o2[c] + q8h2[c] &lt;=&gt; h2o[c] + q8[c]</t>
  </si>
  <si>
    <t>mqn8[c] + nadh[c] &lt;=&gt; mql8[c] + nad[c]</t>
  </si>
  <si>
    <t>nadh[c] + q8[c]  &lt;=&gt; nad[c] + q8h2[c]</t>
  </si>
  <si>
    <t>2dmmq8[c] + h2[e]  &lt;=&gt; 2dmmql8[c]</t>
  </si>
  <si>
    <t>2dmmq8[c] + nadh[c]  &lt;=&gt; 2dmmql8[c] + nad[c]</t>
  </si>
  <si>
    <t xml:space="preserve">2dmmql8[c] + tmao[e] &lt;=&gt; 2dmmq8[c] + h2o[e] + tma[e] </t>
  </si>
  <si>
    <t xml:space="preserve">adp[c] + pi[c] &lt;=&gt; atp[c] + h2o[c] </t>
  </si>
  <si>
    <t>h2o[c] + nmn[e]  &lt;=&gt; ncam[c] + r5p[c]</t>
  </si>
  <si>
    <t xml:space="preserve">mql8[c] + tmao[e] &lt;=&gt; h2o[e] + mqn8[c] + tma[e] </t>
  </si>
  <si>
    <t xml:space="preserve">nadh[c] + nadp[c] &lt;=&gt; nad[c] + nadph[c] </t>
  </si>
  <si>
    <t>glc-D[e] + h2o[e] + q8[c]  &lt;=&gt; glcn[e] + q8h2[c]</t>
  </si>
  <si>
    <t>(0.5) o2[c] + q8h2[c]  &lt;=&gt; h2o[c] + q8[c]</t>
  </si>
  <si>
    <t xml:space="preserve">acgam[c] + pep[c]  &lt;=&gt; acgam6p[c] + pyr[c] </t>
  </si>
  <si>
    <t xml:space="preserve">acmana[c] + pep[c]  &lt;=&gt; acmanap[c] + pyr[c] </t>
  </si>
  <si>
    <t xml:space="preserve">fru[c] + pep[c]  &lt;=&gt; f1p[c] + pyr[c] </t>
  </si>
  <si>
    <t xml:space="preserve">fru[c] + pep[c]  &lt;=&gt; f6p[c] + pyr[c] </t>
  </si>
  <si>
    <t xml:space="preserve">galt[c] + pep[c]  &lt;=&gt; galt1p[c] + pyr[c] </t>
  </si>
  <si>
    <t xml:space="preserve">gam[c] + pep[c]  &lt;=&gt; gam6p[c] + pyr[c] </t>
  </si>
  <si>
    <t xml:space="preserve">glc-D[c] + pep[c]  &lt;=&gt; g6p[c] + pyr[c] </t>
  </si>
  <si>
    <t xml:space="preserve">malt[c] + pep[c]  &lt;=&gt; malt6p[c] + pyr[c] </t>
  </si>
  <si>
    <t xml:space="preserve">man[c] + pep[c]  &lt;=&gt; man6p[c] + pyr[c] </t>
  </si>
  <si>
    <t xml:space="preserve">mnl[c] + pep[c]  &lt;=&gt; mnl1p[c] + pyr[c] </t>
  </si>
  <si>
    <t xml:space="preserve">pep[c] + sbt-D[c]  &lt;=&gt; pyr[c] + sbt6p[c] </t>
  </si>
  <si>
    <t xml:space="preserve">pep[c] + sucr[c]  &lt;=&gt; pyr[c] + suc6p[c] </t>
  </si>
  <si>
    <t xml:space="preserve">pep[c] + tre[c]  &lt;=&gt; pyr[c] + tre6p[c] </t>
  </si>
  <si>
    <t>for[e] + mqn8[c]  &lt;=&gt; co2tot[e] + mql8[c]</t>
  </si>
  <si>
    <t>for[e] + q8[c]  &lt;=&gt; co2tot[e] + q8h2[c]</t>
  </si>
  <si>
    <t xml:space="preserve">mqn8[c] + nadh[c] &lt;=&gt; mql8[c] + nad[c] </t>
  </si>
  <si>
    <t xml:space="preserve">nadh[c] + q8[c] &lt;=&gt; nad[c] + q8h2[c] </t>
  </si>
  <si>
    <t xml:space="preserve">2dmmq8[c] + nadh[c] &lt;=&gt; 2dmmql8[c] + nad[c] </t>
  </si>
  <si>
    <t>h2o[c] + nmn[c]  &lt;=&gt; ncam[c] + r5p[c]</t>
  </si>
  <si>
    <t>atp[c] + h2o[c]  &lt;=&gt; adp[c] + pi[c]</t>
  </si>
  <si>
    <t xml:space="preserve">adn{0}[e]  &lt;=&gt; adn{0}[c] </t>
  </si>
  <si>
    <t xml:space="preserve">asp-L{-1}[e]  &lt;=&gt; asp-L{-1}[c] </t>
  </si>
  <si>
    <t xml:space="preserve">asp-L{-1}[e] + h{1}[e]  &lt;=&gt; asp-L{-1}[c] + h{1}[c] </t>
  </si>
  <si>
    <t xml:space="preserve">cytd{0}[e]  &lt;=&gt; cytd{0}[c] </t>
  </si>
  <si>
    <t xml:space="preserve">fum{-2}[e]  &lt;=&gt; fum{-2}[c] </t>
  </si>
  <si>
    <t xml:space="preserve">fum{-2}[e] + (2) h{1}[e]  &lt;=&gt; fum{-2}[c] + (2) h{1}[c] </t>
  </si>
  <si>
    <t xml:space="preserve">gua{0}[e]  &lt;=&gt; gua{0}[c] </t>
  </si>
  <si>
    <t xml:space="preserve">ins{0}[e]  &lt;=&gt; ins{0}[c] </t>
  </si>
  <si>
    <t xml:space="preserve">mal-L{-2}[e]  &lt;=&gt; mal-L{-2}[c] </t>
  </si>
  <si>
    <t xml:space="preserve">(2) h{1}[e] + mal-L{-2}[e]  &lt;=&gt; (2) h{1}[c] + mal-L{-2}[c] </t>
  </si>
  <si>
    <t xml:space="preserve">na1{1}[c]  &lt;=&gt; na1{1}[e] </t>
  </si>
  <si>
    <t xml:space="preserve">h{1}[e] + na1{1}[c]  &lt;=&gt; h{1}[c] + na1{1}[e] </t>
  </si>
  <si>
    <t xml:space="preserve">succ{-2}[e]  &lt;=&gt; succ{-2}[c] </t>
  </si>
  <si>
    <t xml:space="preserve">(2) h{1}[e] + succ{-2}[e]  &lt;=&gt; (2) h{1}[c] + succ{-2}[c] </t>
  </si>
  <si>
    <t xml:space="preserve">thymd{-1}[e]  &lt;=&gt; thymd{-1}[c] </t>
  </si>
  <si>
    <t xml:space="preserve">thymd{0}[e]  &lt;=&gt; thymd{0}[c] </t>
  </si>
  <si>
    <t xml:space="preserve">ura{0}[e]  &lt;=&gt; ura{0}[c] </t>
  </si>
  <si>
    <t xml:space="preserve">uri{-1}[e]  &lt;=&gt; uri{-1}[c] </t>
  </si>
  <si>
    <t xml:space="preserve">uri{0}[e]  &lt;=&gt; uri{0}[c] </t>
  </si>
  <si>
    <t xml:space="preserve">xan{0}[e]  &lt;=&gt; xan{0}[c] </t>
  </si>
  <si>
    <t xml:space="preserve">12ppd-S{0}[e]  &lt;=&gt; 12ppd-S{0}[c] </t>
  </si>
  <si>
    <t xml:space="preserve">4abut{0}[e]  &lt;=&gt; 4abut{0}[c] </t>
  </si>
  <si>
    <t xml:space="preserve">acac{-1}[e]  &lt;=&gt; acac{-1}[c] </t>
  </si>
  <si>
    <t xml:space="preserve">acac{-1}[e] + h{1}[e]  &lt;=&gt; acac{-1}[c] + h{1}[c] </t>
  </si>
  <si>
    <t xml:space="preserve">acald{0}[e]  &lt;=&gt; acald{0}[c] </t>
  </si>
  <si>
    <t xml:space="preserve">acgam{0}[e]  &lt;=&gt; acgam{0}[c] </t>
  </si>
  <si>
    <t xml:space="preserve">acmana{0}[e]  &lt;=&gt; acmana{0}[c] </t>
  </si>
  <si>
    <t xml:space="preserve">acnam{-1}[e]  &lt;=&gt; acnam{-1}[c] </t>
  </si>
  <si>
    <t xml:space="preserve">acnam{-1}[e] + h{1}[e]  &lt;=&gt; acnam{-1}[c] + h{1}[c] </t>
  </si>
  <si>
    <t xml:space="preserve">ac{-1}[e]  &lt;=&gt; ac{-1}[c] </t>
  </si>
  <si>
    <t xml:space="preserve">ac{-1}[e] + h{1}[e]  &lt;=&gt; ac{-1}[c] + h{1}[c] </t>
  </si>
  <si>
    <t xml:space="preserve">ade{0}[e]  &lt;=&gt; ade{0}[c] </t>
  </si>
  <si>
    <t xml:space="preserve">akg{-2}[e]  &lt;=&gt; akg{-2}[c] </t>
  </si>
  <si>
    <t xml:space="preserve">akg{-2}[e] + (2) h{1}[e]  &lt;=&gt; akg{-2}[c] + (2) h{1}[c] </t>
  </si>
  <si>
    <t xml:space="preserve">ala-L{0}[e]  &lt;=&gt; ala-L{0}[c] </t>
  </si>
  <si>
    <t xml:space="preserve">alltn{0}[e]  &lt;=&gt; alltn{0}[c] </t>
  </si>
  <si>
    <t xml:space="preserve">arab-L{0}[e]  &lt;=&gt; arab-L{0}[c] </t>
  </si>
  <si>
    <t xml:space="preserve">arg-L{1}[e]  &lt;=&gt; arg-L{1}[c] </t>
  </si>
  <si>
    <t xml:space="preserve">arg-L{1}[e] + orn{1}[c]  &lt;=&gt; arg-L{1}[c] + orn{1}[e] </t>
  </si>
  <si>
    <t xml:space="preserve">asn-L{0}[e]  &lt;=&gt; asn-L{0}[c] </t>
  </si>
  <si>
    <t xml:space="preserve">but{-1}[e]  &lt;=&gt; but{-1}[c] </t>
  </si>
  <si>
    <t xml:space="preserve">but{-1}[e] + h{1}[e]  &lt;=&gt; but{-1}[c] + h{1}[c] </t>
  </si>
  <si>
    <t xml:space="preserve">15dap{2}[c] + lys-L{1}[e]  &lt;=&gt; 15dap{2}[e] + lys-L{1}[c] </t>
  </si>
  <si>
    <t xml:space="preserve">15dap{2}[c] + h{1}[e] + lys-L{1}[e]  &lt;=&gt; 15dap{2}[e] + h{1}[c] + lys-L{1}[c] </t>
  </si>
  <si>
    <t xml:space="preserve">cbl1{-1}[e]  &lt;=&gt; cbl1{-1}[c] </t>
  </si>
  <si>
    <t xml:space="preserve">chol{1}[e]  &lt;=&gt; chol{1}[c] </t>
  </si>
  <si>
    <t xml:space="preserve">chol{1}[e] + h{1}[c]  &lt;=&gt; chol{1}[c] + h{1}[e] </t>
  </si>
  <si>
    <t xml:space="preserve">cit{-3}[e] + succ{-2}[c]  &lt;=&gt; cit{-3}[c] + succ{-2}[e] </t>
  </si>
  <si>
    <t xml:space="preserve">cit{-3}[e] + h{1}[e] + succ{-2}[c]  &lt;=&gt; cit{-3}[c] + h{1}[c] + succ{-2}[e] </t>
  </si>
  <si>
    <t xml:space="preserve">co2tot{0}[e]  &lt;=&gt; co2tot{0}[c] </t>
  </si>
  <si>
    <t xml:space="preserve">crn{0}[e] + gbbtn{0}[c]  &lt;=&gt; crn{0}[c] + gbbtn{0}[e] </t>
  </si>
  <si>
    <t xml:space="preserve">csn{-1}[e]  &lt;=&gt; csn{-1}[c] </t>
  </si>
  <si>
    <t xml:space="preserve">csn{0}[e]  &lt;=&gt; csn{0}[c] </t>
  </si>
  <si>
    <t xml:space="preserve">cynt{-1}[e]  &lt;=&gt; cynt{-1}[c] </t>
  </si>
  <si>
    <t xml:space="preserve">cynt{-1}[e] + h{1}[e]  &lt;=&gt; cynt{-1}[c] + h{1}[c] </t>
  </si>
  <si>
    <t xml:space="preserve">cys-L{0}[e]  &lt;=&gt; cys-L{0}[c] </t>
  </si>
  <si>
    <t xml:space="preserve">dad-2{0}[e]  &lt;=&gt; dad-2{0}[c] </t>
  </si>
  <si>
    <t xml:space="preserve">ala-D{0}[e]  &lt;=&gt; ala-D{0}[c] </t>
  </si>
  <si>
    <t xml:space="preserve">26dap-M{0}[e]  &lt;=&gt; 26dap-M{0}[c] </t>
  </si>
  <si>
    <t xml:space="preserve">dcyt{0}[e]  &lt;=&gt; dcyt{0}[c] </t>
  </si>
  <si>
    <t xml:space="preserve">2ddglcn{-1}[e]  &lt;=&gt; 2ddglcn{-1}[c] </t>
  </si>
  <si>
    <t xml:space="preserve">2ddglcn{-1}[e] + h{1}[e]  &lt;=&gt; 2ddglcn{-1}[c] + h{1}[c] </t>
  </si>
  <si>
    <t xml:space="preserve">dgsn{0}[e]  &lt;=&gt; dgsn{0}[c] </t>
  </si>
  <si>
    <t xml:space="preserve">dha{0}[e]  &lt;=&gt; dha{0}[c] </t>
  </si>
  <si>
    <t xml:space="preserve">din{0}[e]  &lt;=&gt; din{0}[c] </t>
  </si>
  <si>
    <t xml:space="preserve">lac-D{-1}[e]  &lt;=&gt; lac-D{-1}[c] </t>
  </si>
  <si>
    <t xml:space="preserve">h{1}[e] + lac-D{-1}[e]  &lt;=&gt; h{1}[c] + lac-D{-1}[c] </t>
  </si>
  <si>
    <t xml:space="preserve">ser-D{0}[e]  &lt;=&gt; ser-D{0}[c] </t>
  </si>
  <si>
    <t xml:space="preserve">duri{-1}[e]  &lt;=&gt; duri{-1}[c] </t>
  </si>
  <si>
    <t xml:space="preserve">duri{0}[e]  &lt;=&gt; duri{0}[c] </t>
  </si>
  <si>
    <t xml:space="preserve">etoh{0}[e]  &lt;=&gt; etoh{0}[c] </t>
  </si>
  <si>
    <t xml:space="preserve">fe2{2}[e]  &lt;=&gt; fe2{2}[c] </t>
  </si>
  <si>
    <t xml:space="preserve">for{-1}[e]  &lt;=&gt; for{-1}[c] </t>
  </si>
  <si>
    <t xml:space="preserve">for{-1}[e] + h{1}[e]  &lt;=&gt; for{-1}[c] + h{1}[c] </t>
  </si>
  <si>
    <t xml:space="preserve">fru{0}[e]  &lt;=&gt; fru{0}[c] </t>
  </si>
  <si>
    <t xml:space="preserve">fuc1p-L{-2}[e] + (2) pi{-2}[c]  &lt;=&gt; fuc1p-L{-2}[c] + (2) pi{-2}[e] </t>
  </si>
  <si>
    <t xml:space="preserve">fuc1p-L{-2}[e] + (2) h{1}[c] + (2) pi{-2}[c]  &lt;=&gt; fuc1p-L{-2}[c] + (2) h{1}[e] + (2) pi{-2}[e] </t>
  </si>
  <si>
    <t xml:space="preserve">fuc-L{0}[e]  &lt;=&gt; fuc-L{0}[c] </t>
  </si>
  <si>
    <t xml:space="preserve">g6p{-2}[e] + (2) pi{-2}[c]  &lt;=&gt; g6p{-2}[c] + (2) pi{-2}[e] </t>
  </si>
  <si>
    <t xml:space="preserve">g6p{-2}[e] + (2) h{1}[c] + (2) pi{-2}[c]  &lt;=&gt; g6p{-2}[c] + (2) h{1}[e] + (2) pi{-2}[e] </t>
  </si>
  <si>
    <t xml:space="preserve">gal{0}[e]  &lt;=&gt; gal{0}[c] </t>
  </si>
  <si>
    <t xml:space="preserve">galctn-D{-1}[e]  &lt;=&gt; galctn-D{-1}[c] </t>
  </si>
  <si>
    <t xml:space="preserve">galctn-D{-1}[e] + h{1}[e]  &lt;=&gt; galctn-D{-1}[c] + h{1}[c] </t>
  </si>
  <si>
    <t xml:space="preserve">galct-D{-2}[e]  &lt;=&gt; galct-D{-2}[c] </t>
  </si>
  <si>
    <t xml:space="preserve">galct-D{-2}[e] + (2) h{1}[e]  &lt;=&gt; galct-D{-2}[c] + (2) h{1}[c] </t>
  </si>
  <si>
    <t xml:space="preserve">galt{0}[e]  &lt;=&gt; galt{0}[c] </t>
  </si>
  <si>
    <t xml:space="preserve">galur{-1}[e]  &lt;=&gt; galur{-1}[c] </t>
  </si>
  <si>
    <t xml:space="preserve">galur{-1}[e] + h{1}[e]  &lt;=&gt; galur{-1}[c] + h{1}[c] </t>
  </si>
  <si>
    <t xml:space="preserve">gam{0}[e]  &lt;=&gt; gam{0}[c] </t>
  </si>
  <si>
    <t xml:space="preserve">gam{1}[e]  &lt;=&gt; gam{1}[c] </t>
  </si>
  <si>
    <t xml:space="preserve">glcn{-1}[e]  &lt;=&gt; glcn{-1}[c] </t>
  </si>
  <si>
    <t xml:space="preserve">glcn{-1}[e] + h{1}[e]  &lt;=&gt; glcn{-1}[c] + h{1}[c] </t>
  </si>
  <si>
    <t xml:space="preserve">glc-D{0}[e]  &lt;=&gt; glc-D{0}[c] </t>
  </si>
  <si>
    <t xml:space="preserve">glcr{-2}[e]  &lt;=&gt; glcr{-2}[c] </t>
  </si>
  <si>
    <t xml:space="preserve">glcr{-2}[e] + (2) h{1}[e]  &lt;=&gt; glcr{-2}[c] + (2) h{1}[c] </t>
  </si>
  <si>
    <t xml:space="preserve">glcur{-1}[e]  &lt;=&gt; glcur{-1}[c] </t>
  </si>
  <si>
    <t xml:space="preserve">glcur{-1}[e] + h{1}[e]  &lt;=&gt; glcur{-1}[c] + h{1}[c] </t>
  </si>
  <si>
    <t xml:space="preserve">gln-L{0}[e]  &lt;=&gt; gln-L{0}[c] </t>
  </si>
  <si>
    <t xml:space="preserve">glu-L{-1}[e]  &lt;=&gt; glu-L{-1}[c] </t>
  </si>
  <si>
    <t xml:space="preserve">4abut{0}[c] + glu-L{-1}[e]  &lt;=&gt; 4abut{0}[e] + glu-L{-1}[c] </t>
  </si>
  <si>
    <t xml:space="preserve">4abut{0}[c] + glu-L{-1}[e] + h{1}[e]  &lt;=&gt; 4abut{0}[e] + glu-L{-1}[c] + h{1}[c] </t>
  </si>
  <si>
    <t xml:space="preserve">glu-L{-1}[e] + h{1}[e]  &lt;=&gt; glu-L{-1}[c] + h{1}[c] </t>
  </si>
  <si>
    <t xml:space="preserve">glu-L{-1}[e] + na1{1}[e]  &lt;=&gt; glu-L{-1}[c] + na1{1}[c] </t>
  </si>
  <si>
    <t xml:space="preserve">glyald{0}[e]  &lt;=&gt; glyald{0}[c] </t>
  </si>
  <si>
    <t xml:space="preserve">glyb{0}[e]  &lt;=&gt; glyb{0}[c] </t>
  </si>
  <si>
    <t xml:space="preserve">glyc3p{-2}[e]  &lt;=&gt; glyc3p{-2}[c] </t>
  </si>
  <si>
    <t xml:space="preserve">glyc3p{-2}[e] + pi{-2}[c]  &lt;=&gt; glyc3p{-2}[c] + pi{-2}[e] </t>
  </si>
  <si>
    <t xml:space="preserve">glyclt{-1}[e]  &lt;=&gt; glyclt{-1}[c] </t>
  </si>
  <si>
    <t xml:space="preserve">glyclt{-1}[e] + h{1}[e]  &lt;=&gt; glyclt{-1}[c] + h{1}[c] </t>
  </si>
  <si>
    <t xml:space="preserve">glyc{0}[c]  &lt;=&gt; glyc{0}[e] </t>
  </si>
  <si>
    <t xml:space="preserve">gly{0}[e]  &lt;=&gt; gly{0}[c] </t>
  </si>
  <si>
    <t xml:space="preserve">gsn{0}[e]  &lt;=&gt; gsn{0}[c] </t>
  </si>
  <si>
    <t xml:space="preserve">h2o{0}[e]  &lt;=&gt; h2o{0}[c] </t>
  </si>
  <si>
    <t xml:space="preserve">3hcinnm{-1}[e]  &lt;=&gt; 3hcinnm{-1}[c] </t>
  </si>
  <si>
    <t xml:space="preserve">3hcinnm{-1}[e] + h{1}[e]  &lt;=&gt; 3hcinnm{-1}[c] + h{1}[c] </t>
  </si>
  <si>
    <t xml:space="preserve">hdca{-1}[e]  &lt;=&gt; hdca{-1}[c] </t>
  </si>
  <si>
    <t xml:space="preserve">hdca{-1}[e] + h{1}[e]  &lt;=&gt; hdca{-1}[c] + h{1}[c] </t>
  </si>
  <si>
    <t xml:space="preserve">his-L{0}[e]  &lt;=&gt; his-L{0}[c] </t>
  </si>
  <si>
    <t xml:space="preserve">3hpppn{-1}[e]  &lt;=&gt; 3hpppn{-1}[c] </t>
  </si>
  <si>
    <t xml:space="preserve">3hpppn{-1}[e] + h{1}[e]  &lt;=&gt; 3hpppn{-1}[c] + h{1}[c] </t>
  </si>
  <si>
    <t xml:space="preserve">hxan{0}[e]  &lt;=&gt; hxan{0}[c] </t>
  </si>
  <si>
    <t xml:space="preserve">idon-L{-1}[e]  &lt;=&gt; idon-L{-1}[c] </t>
  </si>
  <si>
    <t xml:space="preserve">h{1}[e] + idon-L{-1}[e]  &lt;=&gt; h{1}[c] + idon-L{-1}[c] </t>
  </si>
  <si>
    <t xml:space="preserve">ile-L{0}[e]  &lt;=&gt; ile-L{0}[c] </t>
  </si>
  <si>
    <t xml:space="preserve">indole{0}[e]  &lt;=&gt; indole{0}[c] </t>
  </si>
  <si>
    <t xml:space="preserve">k{1}[e]  &lt;=&gt; k{1}[c] </t>
  </si>
  <si>
    <t xml:space="preserve">h{1}[c] + k{1}[e]  &lt;=&gt; h{1}[e] + k{1}[c] </t>
  </si>
  <si>
    <t xml:space="preserve">lcts{0}[e]  &lt;=&gt; lcts{0}[c] </t>
  </si>
  <si>
    <t xml:space="preserve">leu-L{0}[e]  &lt;=&gt; leu-L{0}[c] </t>
  </si>
  <si>
    <t xml:space="preserve">lac-L{-1}[e]  &lt;=&gt; lac-L{-1}[c] </t>
  </si>
  <si>
    <t xml:space="preserve">h{1}[e] + lac-L{-1}[e]  &lt;=&gt; h{1}[c] + lac-L{-1}[c] </t>
  </si>
  <si>
    <t xml:space="preserve">lys-L{1}[e]  &lt;=&gt; lys-L{1}[c] </t>
  </si>
  <si>
    <t xml:space="preserve">h{1}[c] + lys-L{1}[e]  &lt;=&gt; h{1}[e] + lys-L{1}[c] </t>
  </si>
  <si>
    <t xml:space="preserve">malt{0}[e]  &lt;=&gt; malt{0}[c] </t>
  </si>
  <si>
    <t xml:space="preserve">malthx{0}[e]  &lt;=&gt; malthx{0}[c] </t>
  </si>
  <si>
    <t xml:space="preserve">maltpt{0}[e]  &lt;=&gt; maltpt{0}[c] </t>
  </si>
  <si>
    <t xml:space="preserve">malttr{0}[e]  &lt;=&gt; malttr{0}[c] </t>
  </si>
  <si>
    <t xml:space="preserve">maltttr{0}[e]  &lt;=&gt; maltttr{0}[c] </t>
  </si>
  <si>
    <t xml:space="preserve">man6p{-2}[e] + (2) pi{-2}[c]  &lt;=&gt; man6p{-2}[c] + (2) pi{-2}[e] </t>
  </si>
  <si>
    <t xml:space="preserve">(2) h{1}[c] + man6p{-2}[e] + (2) pi{-2}[c]  &lt;=&gt; (2) h{1}[e] + man6p{-2}[c] + (2) pi{-2}[e] </t>
  </si>
  <si>
    <t xml:space="preserve">man{0}[e]  &lt;=&gt; man{0}[c] </t>
  </si>
  <si>
    <t xml:space="preserve">melib{0}[e]  &lt;=&gt; melib{0}[c] </t>
  </si>
  <si>
    <t xml:space="preserve">met-L{0}[e]  &lt;=&gt; met-L{0}[c] </t>
  </si>
  <si>
    <t xml:space="preserve">met-D{0}[e]  &lt;=&gt; met-D{0}[c] </t>
  </si>
  <si>
    <t xml:space="preserve">mnl{0}[e]  &lt;=&gt; mnl{0}[c] </t>
  </si>
  <si>
    <t xml:space="preserve">nac{-1}[e]  &lt;=&gt; nac{-1}[c] </t>
  </si>
  <si>
    <t xml:space="preserve">h{1}[e] + nac{-1}[e]  &lt;=&gt; h{1}[c] + nac{-1}[c] </t>
  </si>
  <si>
    <t xml:space="preserve">(2) na1{1}[c]  &lt;=&gt; (2) na1{1}[e] </t>
  </si>
  <si>
    <t xml:space="preserve">(2) h{1}[e] + (2) na1{1}[c]  &lt;=&gt; (2) h{1}[c] + (2) na1{1}[e] </t>
  </si>
  <si>
    <t xml:space="preserve">nh3{1}[e]  &lt;=&gt; nh3{1}[c] </t>
  </si>
  <si>
    <t xml:space="preserve">h{1}[c] + nh3{1}[e]  &lt;=&gt; h{1}[e] + nh3{1}[c] </t>
  </si>
  <si>
    <t xml:space="preserve">nmn{-1}[e]  &lt;=&gt; nmn{-1}[c] </t>
  </si>
  <si>
    <t xml:space="preserve">h{1}[e] + nmn{-1}[e]  &lt;=&gt; h{1}[c] + nmn{-1}[c] </t>
  </si>
  <si>
    <t xml:space="preserve">no2{0}[e]  &lt;=&gt; no2{0}[c] </t>
  </si>
  <si>
    <t xml:space="preserve">no2{0}[c] + no3{-1}[e]  &lt;=&gt; no2{0}[e] + no3{-1}[c] </t>
  </si>
  <si>
    <t xml:space="preserve">h{1}[e] + no2{0}[c] + no3{-1}[e]  &lt;=&gt; h{1}[c] + no2{0}[e] + no3{-1}[c] </t>
  </si>
  <si>
    <t xml:space="preserve">o2{0}[e]  &lt;=&gt; o2{0}[c] </t>
  </si>
  <si>
    <t xml:space="preserve">ocdca{-1}[e]  &lt;=&gt; ocdca{-1}[c] </t>
  </si>
  <si>
    <t xml:space="preserve">h{1}[e] + ocdca{-1}[e]  &lt;=&gt; h{1}[c] + ocdca{-1}[c] </t>
  </si>
  <si>
    <t xml:space="preserve">orn{1}[e]  &lt;=&gt; orn{1}[c] </t>
  </si>
  <si>
    <t xml:space="preserve">phe-L{0}[e]  &lt;=&gt; phe-L{0}[c] </t>
  </si>
  <si>
    <t xml:space="preserve">pi{-2}[e]  &lt;=&gt; pi{-2}[c] </t>
  </si>
  <si>
    <t xml:space="preserve">(2) h{1}[e] + pi{-2}[e]  &lt;=&gt; (2) h{1}[c] + pi{-2}[c] </t>
  </si>
  <si>
    <t xml:space="preserve">na1{1}[e] + pnto-R{-1}[e]  &lt;=&gt; na1{1}[c] + pnto-R{-1}[c] </t>
  </si>
  <si>
    <t xml:space="preserve">pppn{-1}[e]  &lt;=&gt; pppn{-1}[c] </t>
  </si>
  <si>
    <t xml:space="preserve">h{1}[e] + pppn{-1}[e]  &lt;=&gt; h{1}[c] + pppn{-1}[c] </t>
  </si>
  <si>
    <t xml:space="preserve">pro-L{0}[e]  &lt;=&gt; pro-L{0}[c] </t>
  </si>
  <si>
    <t xml:space="preserve">na1{1}[e] + pro-L{0}[e]  &lt;=&gt; na1{1}[c] + pro-L{0}[c] </t>
  </si>
  <si>
    <t xml:space="preserve">h{1}[c] + na1{1}[e] + pro-L{0}[e]  &lt;=&gt; h{1}[e] + na1{1}[c] + pro-L{0}[c] </t>
  </si>
  <si>
    <t xml:space="preserve">ptrc{2}[e]  &lt;=&gt; ptrc{2}[c] </t>
  </si>
  <si>
    <t xml:space="preserve">orn{1}[c] + ptrc{2}[e]  &lt;=&gt; orn{1}[e] + ptrc{2}[c] </t>
  </si>
  <si>
    <t xml:space="preserve">h{1}[c] + orn{1}[c] + ptrc{2}[e]  &lt;=&gt; h{1}[e] + orn{1}[e] + ptrc{2}[c] </t>
  </si>
  <si>
    <t xml:space="preserve">(2) h{1}[c] + ptrc{2}[e]  &lt;=&gt; (2) h{1}[e] + ptrc{2}[c] </t>
  </si>
  <si>
    <t xml:space="preserve">pyr{-1}[e]  &lt;=&gt; pyr{-1}[c] </t>
  </si>
  <si>
    <t xml:space="preserve">h{1}[e] + pyr{-1}[e]  &lt;=&gt; h{1}[c] + pyr{-1}[c] </t>
  </si>
  <si>
    <t xml:space="preserve">rib-D{0}[e]  &lt;=&gt; rib-D{0}[c] </t>
  </si>
  <si>
    <t xml:space="preserve">rmn{0}[e]  &lt;=&gt; rmn{0}[c] </t>
  </si>
  <si>
    <t xml:space="preserve">sbt-D{0}[e]  &lt;=&gt; sbt-D{0}[c] </t>
  </si>
  <si>
    <t xml:space="preserve">ser-L{0}[e]  &lt;=&gt; ser-L{0}[c] </t>
  </si>
  <si>
    <t xml:space="preserve">na1{1}[e] + ser-L{0}[e]  &lt;=&gt; na1{1}[c] + ser-L{0}[c] </t>
  </si>
  <si>
    <t xml:space="preserve">h{1}[c] + na1{1}[e] + ser-L{0}[e]  &lt;=&gt; h{1}[e] + na1{1}[c] + ser-L{0}[c] </t>
  </si>
  <si>
    <t xml:space="preserve">spmd{3}[e]  &lt;=&gt; spmd{3}[c] </t>
  </si>
  <si>
    <t xml:space="preserve">succ{-2}[c]  &lt;=&gt; succ{-2}[e] </t>
  </si>
  <si>
    <t xml:space="preserve">(2) h{1}[c] + succ{-2}[c]  &lt;=&gt; (2) h{1}[e] + succ{-2}[e] </t>
  </si>
  <si>
    <t xml:space="preserve">fum{-2}[e] + succ{-2}[c]  &lt;=&gt; fum{-2}[c] + succ{-2}[e] </t>
  </si>
  <si>
    <t xml:space="preserve">sucr{0}[e]  &lt;=&gt; sucr{0}[c] </t>
  </si>
  <si>
    <t xml:space="preserve">so4{-2}[e]  &lt;=&gt; so4{-2}[c] </t>
  </si>
  <si>
    <t xml:space="preserve">succ{-2}[c] + tartr-L{-2}[e]  &lt;=&gt; succ{-2}[e] + tartr-L{-2}[c] </t>
  </si>
  <si>
    <t xml:space="preserve">taur{0}[e]  &lt;=&gt; taur{0}[c] </t>
  </si>
  <si>
    <t xml:space="preserve">thm{1}[e]  &lt;=&gt; thm{1}[c] </t>
  </si>
  <si>
    <t xml:space="preserve">thr-L{0}[e]  &lt;=&gt; thr-L{0}[c] </t>
  </si>
  <si>
    <t xml:space="preserve">na1{1}[e] + thr-L{0}[e]  &lt;=&gt; na1{1}[c] + thr-L{0}[c] </t>
  </si>
  <si>
    <t xml:space="preserve">h{1}[c] + na1{1}[e] + thr-L{0}[e]  &lt;=&gt; h{1}[e] + na1{1}[c] + thr-L{0}[c] </t>
  </si>
  <si>
    <t xml:space="preserve">tre{0}[e]  &lt;=&gt; tre{0}[c] </t>
  </si>
  <si>
    <t xml:space="preserve">trp-L{0}[e]  &lt;=&gt; trp-L{0}[c] </t>
  </si>
  <si>
    <t xml:space="preserve">tsul{-2}[e]  &lt;=&gt; tsul{-2}[c] </t>
  </si>
  <si>
    <t xml:space="preserve">ttdca{-1}[e]  &lt;=&gt; ttdca{-1}[c] </t>
  </si>
  <si>
    <t xml:space="preserve">h{1}[e] + ttdca{-1}[e]  &lt;=&gt; h{1}[c] + ttdca{-1}[c] </t>
  </si>
  <si>
    <t xml:space="preserve">tyr-L{0}[e]  &lt;=&gt; tyr-L{0}[c] </t>
  </si>
  <si>
    <t xml:space="preserve">urea{0}[e]  &lt;=&gt; urea{0}[c] </t>
  </si>
  <si>
    <t xml:space="preserve">val-L{0}[e]  &lt;=&gt; val-L{0}[c] </t>
  </si>
  <si>
    <t xml:space="preserve">xtsn{0}[e]  &lt;=&gt; xtsn{0}[c] </t>
  </si>
  <si>
    <t xml:space="preserve">xyl-D{0}[e]  &lt;=&gt; xyl-D{0}[c] </t>
  </si>
  <si>
    <t>(2) electron{-1}[e] &lt;=&gt; (2) electron{-1}[c]</t>
  </si>
  <si>
    <t>(2) h{1}[c] &lt;=&gt; (2) h{1}[e]</t>
  </si>
  <si>
    <t>(4) h{1}[c] &lt;=&gt; (4) h{1}[e]</t>
  </si>
  <si>
    <t>(4) h{1}[c]  &lt;=&gt; (4) h{1}[e]</t>
  </si>
  <si>
    <t>(2) h{1}[c] + (2) electron{-1}[c] &lt;=&gt; (2) h{1}[e] + (2) electron{-1}[e]</t>
  </si>
  <si>
    <t>(4) h{1}[e]  &lt;=&gt; (4) h{1}[c]</t>
  </si>
  <si>
    <t>nmn{-1}[e] &lt;=&gt; nmn{-1}[c]</t>
  </si>
  <si>
    <t>nmn{-1}[e] + h{1}[e] &lt;=&gt; nmn{-1}[c] + h{1}[c]</t>
  </si>
  <si>
    <t>(2) h{1}[e] + (2) electron{-1}[e] &lt;=&gt; (2) h{1}[c] + (2) electron{-1}[c]</t>
  </si>
  <si>
    <t>(2) h{1}[e] &lt;=&gt; (2) h{1}[c]</t>
  </si>
  <si>
    <t>c|&gt;|e</t>
  </si>
  <si>
    <t>one metabolite transport</t>
  </si>
  <si>
    <t>charge balance one metabolite transport</t>
  </si>
  <si>
    <t>no transport detected</t>
  </si>
  <si>
    <t>symport</t>
  </si>
  <si>
    <t>charge balance two metabolite transport</t>
  </si>
  <si>
    <t>no mapping</t>
  </si>
  <si>
    <t>Ht_1</t>
  </si>
  <si>
    <t>eq</t>
  </si>
  <si>
    <t xml:space="preserve">h[e] &lt;=&gt; </t>
  </si>
  <si>
    <t>EX_nh3</t>
  </si>
  <si>
    <t xml:space="preserve">h[c]  &lt;=&gt; h[e] </t>
  </si>
  <si>
    <t>h{1}[c]  &lt;=&gt; h{1}[e]</t>
  </si>
  <si>
    <t>(0.05) 5mthf[c] + (0.00005) accoa[c] + (0.488) ala-L[c] + (0.0010) amp[c] + (0.281) arg-L[c] + (0.229) asn-L[c] + (0.229) asp-L[c] + (45.7318) atp[c] + (0.000129) clpnEC[c] + (0.000006) coa[c] + (0.126) ctp[c] + (0.087) cys-L[c] + (0.0247) datp[c] + (0.0254) dctp[c] + (0.0254) dgtp[c] + (0.0247) dttp[c] + (0.00001) fad[c] + (0.25) gln-L[c] + (0.25) glu-L[c] + (0.582) gly[c] + (0.154) glycogen[c] + (0.203) gtp[c] + (45.5608) h2o[c] + (0.09) his-L[c] + (0.276) ile-L[c] + (0.428) leu-L[c] + (0.0084) lpsEC[c] + (0.326) lys-L[c] + (0.146) met-L[c] + (0.00215) nad[c] + (0.00005) nadh[c] + (0.00013) nadp[c] + (0.0004) nadph[c] + (0.001935) peEC[c] + (0.0276) peptidoEC[c] + (0.000464) pgEC[c] + (0.176) phe-L[c] + (0.21) pro-L[c] + (0.000052) psEC[c] + (0.035) ptrc[c] + (0.205) ser-L[c] + (0.0070) spmd[c] + (0.000003) succoa[c] + (0.241) thr-L[c] + (0.054) trp-L[c] + (0.131) tyr-L[c] + (0.0030) udpg[c] + (0.136) utp[c] + (0.402) val-L[c] &lt;=&gt; (45.5608) adp[c] + (45.56035) h[c] + (45.5628) pi[c] + (0.7302) ppi[c]</t>
  </si>
  <si>
    <t>OfficialName</t>
  </si>
  <si>
    <t>Subsystem</t>
  </si>
  <si>
    <t>ProteinClassDescription</t>
  </si>
  <si>
    <t>Ref. (listed below)</t>
  </si>
  <si>
    <t>S-Propane-1,2-diol facilitated transport</t>
  </si>
  <si>
    <t>Transport, Extracellular</t>
  </si>
  <si>
    <t>2-dehydro-D-gluconate reductase (NADH)</t>
  </si>
  <si>
    <t>Alternate Carbon Metabolism</t>
  </si>
  <si>
    <t>2-dehydro-D-gluconate reductase (NADPH)</t>
  </si>
  <si>
    <t>EC-1.1.1.215</t>
  </si>
  <si>
    <t>2-dehydro-L-gulonate reductase (NADH)</t>
  </si>
  <si>
    <t>2-dehydro-L-gulonate reductase (NADPH)</t>
  </si>
  <si>
    <t>3-hydroxycinnamate hydroxylase</t>
  </si>
  <si>
    <t>3-(3-hydroxy-phenyl)propionate hydroxylase</t>
  </si>
  <si>
    <t>4-Hydroxy-L-threonine synthase</t>
  </si>
  <si>
    <t>Cofactor and Prosthetic Group Biosynthesis</t>
  </si>
  <si>
    <t>5-dehydro-D-gluconate reductase</t>
  </si>
  <si>
    <t>EC-1.1.1.69</t>
  </si>
  <si>
    <t>arabinose-5-phosphate isomerase</t>
  </si>
  <si>
    <t>EC-5.3.1.13</t>
  </si>
  <si>
    <t>acyl-[acyl-carrier-protein] synthetase (n-C14:0)</t>
  </si>
  <si>
    <t>Cell Envelope Biosynthesis</t>
  </si>
  <si>
    <t>EC-6.2.1.20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</si>
  <si>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</si>
  <si>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</si>
  <si>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</si>
  <si>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</si>
  <si>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dTDP-N-4-acetamido-4,6-dideoxy-D-galactose transferase</t>
  </si>
  <si>
    <t>Arbutin 6-phosphate glucohydrolase</t>
  </si>
  <si>
    <t>EC-3.2.1.86</t>
  </si>
  <si>
    <t>4-aminobutyrate transaminase</t>
  </si>
  <si>
    <t>Arginine and Proline Metabolism</t>
  </si>
  <si>
    <t>EC-2.6.1.19</t>
  </si>
  <si>
    <t>Aminobutyraldehyde dehydrogenase</t>
  </si>
  <si>
    <t>EC-1.2.1.19</t>
  </si>
  <si>
    <t>4-aminobutyrate transport in via proton symport</t>
  </si>
  <si>
    <t>acetyl-CoA:acetoacetyl-CoA transferase</t>
  </si>
  <si>
    <t>acetyl-CoA C-acetyltransferase</t>
  </si>
  <si>
    <t>Membrane Lipid Metabolism</t>
  </si>
  <si>
    <t>EC-2.3.1.9</t>
  </si>
  <si>
    <t>acetoacetate transport via proton symport</t>
  </si>
  <si>
    <t>Putative Transporters</t>
  </si>
  <si>
    <t>acetaldehyde dehydrogenase (acetylating)</t>
  </si>
  <si>
    <t>EC-1.2.1.10</t>
  </si>
  <si>
    <t>acetaldehyde reversible transport</t>
  </si>
  <si>
    <t>Adenosyl cobinamide phosphate guanyltransferase</t>
  </si>
  <si>
    <t>acetyl-CoA carboxylate, reversible reaction</t>
  </si>
  <si>
    <t>EC-6.4.1.2</t>
  </si>
  <si>
    <t>acetate-CoA ligase (ADP-forming)</t>
  </si>
  <si>
    <t>EC-6.2.1.13</t>
  </si>
  <si>
    <t>UDP-N-acetylglucosamine:undecaprenylphosphate N-acetylglucosamine -1-phosphate transferase</t>
  </si>
  <si>
    <t>N-Acetyl-D-glucosamine transport via PEP:Pyr PTS</t>
  </si>
  <si>
    <t>acetylglutamate kinase</t>
  </si>
  <si>
    <t>EC-2.7.2.8</t>
  </si>
  <si>
    <t>N-acetylglutamate synthase</t>
  </si>
  <si>
    <t>EC-2.3.1.1</t>
  </si>
  <si>
    <t>2-aceto-2-hydroxybutanoate synthase</t>
  </si>
  <si>
    <t>Valine, leucine, and isoleucine metabolism</t>
  </si>
  <si>
    <t>acetate kinase</t>
  </si>
  <si>
    <t>Pyruvate metabolism</t>
  </si>
  <si>
    <t>EC-2.7.2.1</t>
  </si>
  <si>
    <t>acetolactate synthase</t>
  </si>
  <si>
    <t>EC-4.1.3.18</t>
  </si>
  <si>
    <t>UDP-N-acetyl-D-mannosaminuronic acid transferase</t>
  </si>
  <si>
    <t>N-acetyl-D-mannosamine transport via PTS</t>
  </si>
  <si>
    <t>N-acetylneuraminate proton symport</t>
  </si>
  <si>
    <t>N-Acetylneuraminate lyase</t>
  </si>
  <si>
    <t>EC-4.1.3.3</t>
  </si>
  <si>
    <t>Acetyl-CoA ACP transacylase</t>
  </si>
  <si>
    <t>EC-2.3.1.38</t>
  </si>
  <si>
    <t>acetylornithine deacetylase</t>
  </si>
  <si>
    <t>EC-3.5.1.16</t>
  </si>
  <si>
    <t>Trans-aconitate methyltransferase</t>
  </si>
  <si>
    <t>Unassigned</t>
  </si>
  <si>
    <t>14,15</t>
  </si>
  <si>
    <t>aconitase</t>
  </si>
  <si>
    <t>Citrate Cycle (TCA)</t>
  </si>
  <si>
    <t>EC-4.2.1.3</t>
  </si>
  <si>
    <t>acetylornithine transaminase</t>
  </si>
  <si>
    <t>EC-2.6.1.11</t>
  </si>
  <si>
    <t>acyl-carrier protein synthase</t>
  </si>
  <si>
    <t>EC-2.7.8.7</t>
  </si>
  <si>
    <t>acetyl-CoA synthetase</t>
  </si>
  <si>
    <t>EC-6.2.1.1</t>
  </si>
  <si>
    <t>acetate reversible transport via proton symport</t>
  </si>
  <si>
    <t>Adenosine deaminase</t>
  </si>
  <si>
    <t>Nucleotide Salvage Pathways</t>
  </si>
  <si>
    <t>EC-3.5.4.4</t>
  </si>
  <si>
    <t>4-aminobenzoate synthase</t>
  </si>
  <si>
    <t>4-amino-4-deoxychorismate synthase</t>
  </si>
  <si>
    <t>adenine deaminase</t>
  </si>
  <si>
    <t>EC-3.5.4.2</t>
  </si>
  <si>
    <t>adenine transport via proton symport (reversible)</t>
  </si>
  <si>
    <t>Acetaldehyde dehydrogenase</t>
  </si>
  <si>
    <t>EC-Undetermined</t>
  </si>
  <si>
    <t>adenylate kinase</t>
  </si>
  <si>
    <t>EC-2.7.4.3</t>
  </si>
  <si>
    <t>adentylate kinase (GTP)</t>
  </si>
  <si>
    <t>adentylate kinase (ITP)</t>
  </si>
  <si>
    <t>Adenosylmethionine decarboxylase</t>
  </si>
  <si>
    <t>EC-4.1.1.50</t>
  </si>
  <si>
    <t>adenylate cyclase</t>
  </si>
  <si>
    <t>EC-4.6.1.1</t>
  </si>
  <si>
    <t>adenosine kinase</t>
  </si>
  <si>
    <t>EC-2.7.1.20</t>
  </si>
  <si>
    <t>adenosine transport in via proton symport</t>
  </si>
  <si>
    <t>Adenosyl cobinamide kinase</t>
  </si>
  <si>
    <t>Adenosylcobalamin 5'-phosphate synthase</t>
  </si>
  <si>
    <t>adenine phosphoribosyltransferase</t>
  </si>
  <si>
    <t>EC-2.4.2.7</t>
  </si>
  <si>
    <t>adenylyl-sulfate kinase</t>
  </si>
  <si>
    <t>Cysteine Metabolism</t>
  </si>
  <si>
    <t>EC-2.7.1.25</t>
  </si>
  <si>
    <t>adenylsuccinate lyase</t>
  </si>
  <si>
    <t>Purine and Pyrimidine Biosynthesis</t>
  </si>
  <si>
    <t>EC-4.3.2.2</t>
  </si>
  <si>
    <t>adenylosuccinate lyase</t>
  </si>
  <si>
    <t>adenylosuccinate synthase</t>
  </si>
  <si>
    <t>EC-6.3.4.4</t>
  </si>
  <si>
    <t>N-acetylglucosamine-6-phosphate deacetylase</t>
  </si>
  <si>
    <t>EC-3.5.1.25</t>
  </si>
  <si>
    <t>ADP-D-glycero-D-manno-heptose epimerase</t>
  </si>
  <si>
    <t>EC-5.1.3.20</t>
  </si>
  <si>
    <t>agmatinase</t>
  </si>
  <si>
    <t>EC-3.5.3.11</t>
  </si>
  <si>
    <t>N-acetyl-g-glutamyl-phosphate reductase</t>
  </si>
  <si>
    <t>EC-1.2.1.38</t>
  </si>
  <si>
    <t>adenosylhomocysteinase</t>
  </si>
  <si>
    <t>Methionine Metabolism</t>
  </si>
  <si>
    <t>EC-3.3.1.1</t>
  </si>
  <si>
    <t>S-adenosylhomocysteine nucleosidase</t>
  </si>
  <si>
    <t>EC-3.2.2.9</t>
  </si>
  <si>
    <t>phosphoribosylaminoimidazolecarboxamide formyltransferase</t>
  </si>
  <si>
    <t>EC-2.1.2.3</t>
  </si>
  <si>
    <t>phosphoribosylaminoimidazole carboxylase</t>
  </si>
  <si>
    <t>phosphoribosylaminoimidazole carboxylase (mutase rxn)</t>
  </si>
  <si>
    <t>2-oxoglutarate reversible transport via symport</t>
  </si>
  <si>
    <t>L-alanine transport via ABC system</t>
  </si>
  <si>
    <t>D-alanine-D-alanine ligase (reversible)</t>
  </si>
  <si>
    <t>EC-6.3.2.4</t>
  </si>
  <si>
    <t>alanine racemase</t>
  </si>
  <si>
    <t>Alanine and aspartate metabolism</t>
  </si>
  <si>
    <t>EC-5.1.1.1</t>
  </si>
  <si>
    <t>ALARi</t>
  </si>
  <si>
    <t>L-alanine reversible transport via proton symport</t>
  </si>
  <si>
    <t>D-alanine transaminase</t>
  </si>
  <si>
    <t>L-alanine transaminase</t>
  </si>
  <si>
    <t>EC-2.6.1.2</t>
  </si>
  <si>
    <t>alanine transaminase</t>
  </si>
  <si>
    <t>alcohol dehydrogenase (glycerol)</t>
  </si>
  <si>
    <t>EC-1.1.1.1</t>
  </si>
  <si>
    <t>phenylacetaldehyde dehydrogenase</t>
  </si>
  <si>
    <t>EC-1.2.1.39</t>
  </si>
  <si>
    <t>25,33</t>
  </si>
  <si>
    <t>aldehyde dehydrogenase (acetaldehyde, NAD)</t>
  </si>
  <si>
    <t>EC-1.2.1.3</t>
  </si>
  <si>
    <t>Allantoate amidohydrolase</t>
  </si>
  <si>
    <t>Nitrogen</t>
  </si>
  <si>
    <t>EC-3.5.3.4</t>
  </si>
  <si>
    <t>allantoinase</t>
  </si>
  <si>
    <t>EC-3.5.2.5</t>
  </si>
  <si>
    <t>allantoin transport in via proton symport</t>
  </si>
  <si>
    <t>altronate hydrolase</t>
  </si>
  <si>
    <t>EC-4.2.1.7</t>
  </si>
  <si>
    <t>Amylomaltase (maltotriose)</t>
  </si>
  <si>
    <t>EC-2.4.1.25</t>
  </si>
  <si>
    <t>Amylomaltase (maltotetraose)</t>
  </si>
  <si>
    <t>Amylomaltase (maltopentaose)</t>
  </si>
  <si>
    <t>Amylomaltase (maltohexaose)</t>
  </si>
  <si>
    <t>N-acetylmannosamine 6-phoshpate epimerase</t>
  </si>
  <si>
    <t>Putative</t>
  </si>
  <si>
    <t>N-acetyl-D-mannosamine kinase</t>
  </si>
  <si>
    <t>EC-2.7.1.60</t>
  </si>
  <si>
    <t>adenosylmethionine-8-amino-7-oxononanoate transaminase</t>
  </si>
  <si>
    <t>EC-2.6.1.62</t>
  </si>
  <si>
    <t>S-adenosylmethione:2-demethylmenaquinone methyltransferase</t>
  </si>
  <si>
    <t>4-amino-2-methyl-5-phosphomethylpyrimidine synthetase</t>
  </si>
  <si>
    <t>AMP nucleosidase</t>
  </si>
  <si>
    <t>EC-3.2.2.4</t>
  </si>
  <si>
    <t>anthranilate phosphoribosyltransferase</t>
  </si>
  <si>
    <t>Tyrosine, Tryptophan, and Phenylalanine Metabolism</t>
  </si>
  <si>
    <t>EC-2.4.2.18</t>
  </si>
  <si>
    <t>anthranilate synthase</t>
  </si>
  <si>
    <t>EC-4.1.3.27</t>
  </si>
  <si>
    <t>8-amino-7-oxononanoate synthase</t>
  </si>
  <si>
    <t>EC-2.3.1.47</t>
  </si>
  <si>
    <t>Ap4A hydrolase</t>
  </si>
  <si>
    <t>EC-3.6.1.41</t>
  </si>
  <si>
    <t>Ap5A hydrolase</t>
  </si>
  <si>
    <t>5-amino-6-(5-phosphoribosylamino)uracil reductase</t>
  </si>
  <si>
    <t>EC-1.1.1.193</t>
  </si>
  <si>
    <t>L-arabinose isomerase</t>
  </si>
  <si>
    <t>EC-5.3.1.4</t>
  </si>
  <si>
    <t>L-arabinose transport via ABC system</t>
  </si>
  <si>
    <t>L-arabinose transport via proton symport</t>
  </si>
  <si>
    <t>L-arginine transport via ABC system</t>
  </si>
  <si>
    <t>arginine decarboxylase</t>
  </si>
  <si>
    <t>EC-4.1.1.19</t>
  </si>
  <si>
    <t>arginine/ornithine antiporter</t>
  </si>
  <si>
    <t>argininosuccinate lyase</t>
  </si>
  <si>
    <t>EC-4.3.2.1</t>
  </si>
  <si>
    <t>argininosuccinate synthase</t>
  </si>
  <si>
    <t>EC-6.3.4.5</t>
  </si>
  <si>
    <t>aspartate-semialdehyde dehydrogenase</t>
  </si>
  <si>
    <t>Threonine and Lysine Metabolism</t>
  </si>
  <si>
    <t>EC-1.2.1.11</t>
  </si>
  <si>
    <t>L-asparagine transport via ABC system</t>
  </si>
  <si>
    <t>L-asparaginase</t>
  </si>
  <si>
    <t>EC-3.5.1.1</t>
  </si>
  <si>
    <t>asparagine synthase (glutamine-hydrolysing)</t>
  </si>
  <si>
    <t>EC-6.3.5.4</t>
  </si>
  <si>
    <t>asparagine synthetase</t>
  </si>
  <si>
    <t>EC-6.3.1.1</t>
  </si>
  <si>
    <t>L-asparagine reversible transport via proton symport</t>
  </si>
  <si>
    <t>aspartate 1-decarboxylase</t>
  </si>
  <si>
    <t>EC-4.1.1.11</t>
  </si>
  <si>
    <t>L-aspartate transport via ABC system</t>
  </si>
  <si>
    <t>aspartate carbamoyltransferase</t>
  </si>
  <si>
    <t>EC-2.1.3.2</t>
  </si>
  <si>
    <t>aspartate kinase</t>
  </si>
  <si>
    <t>EC-2.7.2.4</t>
  </si>
  <si>
    <t>L-aspartate oxidase</t>
  </si>
  <si>
    <t>L-aspartase</t>
  </si>
  <si>
    <t>EC-4.3.1.1</t>
  </si>
  <si>
    <t>L-aspartate transport in via proton symport</t>
  </si>
  <si>
    <t>aspartate transaminase</t>
  </si>
  <si>
    <t>EC-2.6.1.1</t>
  </si>
  <si>
    <t>Arginine succinyltransferase</t>
  </si>
  <si>
    <t>EC-2.3.1.109</t>
  </si>
  <si>
    <t>ATP maintenance requirement</t>
  </si>
  <si>
    <t>ATP phosphoribosyltransferase</t>
  </si>
  <si>
    <t>Histidine Metabolism</t>
  </si>
  <si>
    <t>EC-2.4.2.17</t>
  </si>
  <si>
    <t>ATP synthase (four protons for one ATP)</t>
  </si>
  <si>
    <t>Oxidative phosphorylation</t>
  </si>
  <si>
    <t>betaine-aldehyde dehydrogenase</t>
  </si>
  <si>
    <t>EC-1.2.1.8</t>
  </si>
  <si>
    <t>3',5'-bisphosphate nucleotidase</t>
  </si>
  <si>
    <t>EC-3.1.3.7</t>
  </si>
  <si>
    <t>Biotin sulfoxide reductase</t>
  </si>
  <si>
    <t>58,83,85</t>
  </si>
  <si>
    <t>biotin synthase (ala-L producing)</t>
  </si>
  <si>
    <t>Acetyl-CoA:butyrate-CoA transferase</t>
  </si>
  <si>
    <t>EC-2.8.3.8</t>
  </si>
  <si>
    <t>Butyrate transport via proton symport, reversible</t>
  </si>
  <si>
    <t>Fatty acid biosynthesis (n-C12:0)</t>
  </si>
  <si>
    <t>Fatty acid biosynthesis (n-C14:0)</t>
  </si>
  <si>
    <t>Fatty acid biosynthesis (n-C14:1)</t>
  </si>
  <si>
    <t>Fatty acid biosynthesis (n-C16:0)</t>
  </si>
  <si>
    <t>Fatty acid biosynthesis (n-C16:1)</t>
  </si>
  <si>
    <t>Fatty acid biosynthesis (n-C18:1)</t>
  </si>
  <si>
    <t>Lysine/Cadaverine antiporter</t>
  </si>
  <si>
    <t>catalase</t>
  </si>
  <si>
    <t>EC-1.11.1.6</t>
  </si>
  <si>
    <t>Cobinamide adenyltransferase</t>
  </si>
  <si>
    <t>Cob(1)alamin transport via ABC system</t>
  </si>
  <si>
    <t>cob(I)alamin adenosyltransferase</t>
  </si>
  <si>
    <t>EC-2.5.1.17</t>
  </si>
  <si>
    <t>Carbamate kinase</t>
  </si>
  <si>
    <t>EC-2.7.2.2</t>
  </si>
  <si>
    <t>carbamoyl-phosphate synthase (glutamine-hydrolysing)</t>
  </si>
  <si>
    <t>EC-6.3.5.5</t>
  </si>
  <si>
    <t>CDP-Diacylglycerol pyrophostatase (Ecoli)</t>
  </si>
  <si>
    <t>EC-3.6.1.26</t>
  </si>
  <si>
    <t>4-(cytidine 5'-diphospho)-2-C-methyl-D-erythritol kinase</t>
  </si>
  <si>
    <t>45,48,94</t>
  </si>
  <si>
    <t>choline transport via ABC system</t>
  </si>
  <si>
    <t>choline transport via proton symport, reversible</t>
  </si>
  <si>
    <t>chorismate mutase</t>
  </si>
  <si>
    <t>EC-5.4.99.5</t>
  </si>
  <si>
    <t>chorismate synthase</t>
  </si>
  <si>
    <t>EC-4.2.3.5</t>
  </si>
  <si>
    <t>Chorismate pyruvate lyase</t>
  </si>
  <si>
    <t>Cinnamate dioxygenase</t>
  </si>
  <si>
    <t>Citrate lyase</t>
  </si>
  <si>
    <t>EC-4.1.3.6</t>
  </si>
  <si>
    <t>Citrate transport via succinate antiport</t>
  </si>
  <si>
    <t>Cardiolipin Synthase (E.coli)</t>
  </si>
  <si>
    <t>CMP nucleosidase</t>
  </si>
  <si>
    <t>EC-3.2.2.10</t>
  </si>
  <si>
    <t>CO2 transporter via diffusion</t>
  </si>
  <si>
    <t>coproporphyrinogen oxidase (O2 required)</t>
  </si>
  <si>
    <t>EC-1.3.3.3</t>
  </si>
  <si>
    <t>gamma-butyrobetainyl-CoA: carnitine CoA transferase</t>
  </si>
  <si>
    <t>crotonobetainyl-CoA: carnitine CoA transferase</t>
  </si>
  <si>
    <t>Carnityl-CoA dehydratse</t>
  </si>
  <si>
    <t>Carnitine/butyrobetaine antiporter</t>
  </si>
  <si>
    <t>citrate synthase</t>
  </si>
  <si>
    <t>EC-4.1.3.7</t>
  </si>
  <si>
    <t>Cytosine deaminase</t>
  </si>
  <si>
    <t>EC-3.5.4.1</t>
  </si>
  <si>
    <t>cytosine transport in via proton symport</t>
  </si>
  <si>
    <t>CTP synthase (glutamine)</t>
  </si>
  <si>
    <t>EC-6.3.4.2</t>
  </si>
  <si>
    <t>Cyanide sulfurtransferase</t>
  </si>
  <si>
    <t>EC-2.8.1.1</t>
  </si>
  <si>
    <t>Cyanate aminohydrolase</t>
  </si>
  <si>
    <t>Cyanate transport via proton symport</t>
  </si>
  <si>
    <t>L-cysteine transport via ABC system</t>
  </si>
  <si>
    <t>cysteine synthase</t>
  </si>
  <si>
    <t>EC-4.2.99.8</t>
  </si>
  <si>
    <t>cystathionine b-lyase</t>
  </si>
  <si>
    <t>EC-4.4.1.8</t>
  </si>
  <si>
    <t>cytochrome oxidase bd (ubiquinol-8: 2 protons)</t>
  </si>
  <si>
    <t>CYTBO3</t>
  </si>
  <si>
    <t>cytochrome oxidase bo3 (ubiquinol-8: 2.5 protons)</t>
  </si>
  <si>
    <t>cytidine deaminase</t>
  </si>
  <si>
    <t>EC-3.5.4.5</t>
  </si>
  <si>
    <t>cytidine kinase (GTP)</t>
  </si>
  <si>
    <t>cytidine transport in via proton symport</t>
  </si>
  <si>
    <t>cytidylate kinase (CMP)</t>
  </si>
  <si>
    <t>EC-2.7.4.14</t>
  </si>
  <si>
    <t>cytidylate kinase (dCMP)</t>
  </si>
  <si>
    <t>D-Amino acid dehydrogenase</t>
  </si>
  <si>
    <t>EC-1.4.99.1</t>
  </si>
  <si>
    <t>Deoxyadenosine deaminase</t>
  </si>
  <si>
    <t>deoxyadenylate kinase</t>
  </si>
  <si>
    <t>EC-2.7.4.11</t>
  </si>
  <si>
    <t>deoxyadenosine transport in via proton symport</t>
  </si>
  <si>
    <t>Diacylglycerol kinase</t>
  </si>
  <si>
    <t>EC-2.7.1.107</t>
  </si>
  <si>
    <t>D-alanine transport via proton symport</t>
  </si>
  <si>
    <t>M-diaminopimelic acid ABC transport</t>
  </si>
  <si>
    <t>diaminopimelate decarboxylase</t>
  </si>
  <si>
    <t>EC-4.1.1.20</t>
  </si>
  <si>
    <t>diaminopimelate epimerase</t>
  </si>
  <si>
    <t>EC-5.1.1.7</t>
  </si>
  <si>
    <t>CDP-Diacylglycerol synthetase (Ecoli)</t>
  </si>
  <si>
    <t>EC-2.7.7.41</t>
  </si>
  <si>
    <t>3,4-Dihydroxy-2-butanone-4-phosphate</t>
  </si>
  <si>
    <t>dethiobiotin synthase</t>
  </si>
  <si>
    <t>EC-6.3.3.3</t>
  </si>
  <si>
    <t>dCTP deaminase</t>
  </si>
  <si>
    <t>EC-3.5.4.13</t>
  </si>
  <si>
    <t>deoxycytidine deaminase</t>
  </si>
  <si>
    <t>EC-3.5.4.14</t>
  </si>
  <si>
    <t>deoxycytidine transport in via proton symport</t>
  </si>
  <si>
    <t>2-dehydro-3-deoxygalactonokinase</t>
  </si>
  <si>
    <t>EC-2.7.1.58</t>
  </si>
  <si>
    <t>2-dehydro-3-deoxy-D-gluconate transport via proton symport, reversible</t>
  </si>
  <si>
    <t>2-dehydro-3-deoxygluconokinase</t>
  </si>
  <si>
    <t>EC-2.7.1.45</t>
  </si>
  <si>
    <t>3-deoxy-D-arabino-heptulosonate 7-phosphate synthetase</t>
  </si>
  <si>
    <t>EC-4.1.2.15</t>
  </si>
  <si>
    <t>2-dehydro-3-deoxy-6-phosphogalactonate aldolase</t>
  </si>
  <si>
    <t>EC-4.1.2.21</t>
  </si>
  <si>
    <t>deoxyguanylate kinase (dGMP:ATP)</t>
  </si>
  <si>
    <t>EC-2.7.4.8</t>
  </si>
  <si>
    <t>deoxyguanosine transport in via proton symport</t>
  </si>
  <si>
    <t>dihydroxy-acid dehydratase (2,3-dihydroxy-3-methylbutanoate)</t>
  </si>
  <si>
    <t>EC-4.2.1.9</t>
  </si>
  <si>
    <t>Dihydroxy-acid dehydratase (2,3-dihydroxy-3-methylpentanoate)</t>
  </si>
  <si>
    <t>Dihydroxyacetone phosphotransferase</t>
  </si>
  <si>
    <t>42,81</t>
  </si>
  <si>
    <t>Dihydroxyacetone transport via facilitated diffusion</t>
  </si>
  <si>
    <t>2,3-dihydro-2,3-dihydroxybenzoate dehydrogenase</t>
  </si>
  <si>
    <t>EC-1.3.1.28</t>
  </si>
  <si>
    <t>2,3-dihydroxybenzoate adenylate synthase</t>
  </si>
  <si>
    <t>EC-2.7.7.58</t>
  </si>
  <si>
    <t>26,37</t>
  </si>
  <si>
    <t>2,3-dihydroxycinnamate dehydrogenase</t>
  </si>
  <si>
    <t>2,3-dihydroxycinnamate 1,2-dioxygenase</t>
  </si>
  <si>
    <t>dihydrodipicolinate reductase (NADPH)</t>
  </si>
  <si>
    <t>EC-1.3.1.26</t>
  </si>
  <si>
    <t>dihydrodipicolinate synthase</t>
  </si>
  <si>
    <t>EC-4.2.1.52</t>
  </si>
  <si>
    <t>dihydrofolate reductase</t>
  </si>
  <si>
    <t>EC-1.5.1.3</t>
  </si>
  <si>
    <t>dihydrofolate synthase</t>
  </si>
  <si>
    <t>EC-6.3.2.12</t>
  </si>
  <si>
    <t>1,4-dihydroxy-2-naphthoate octaprenyltransferase</t>
  </si>
  <si>
    <t>dihydroneopterin aldolase</t>
  </si>
  <si>
    <t>dihydoorotic acid dehydrogenase (quinone8)</t>
  </si>
  <si>
    <t>EC-1.3.3.1</t>
  </si>
  <si>
    <t>dihydroorotic acid (menaquinone-8)</t>
  </si>
  <si>
    <t>dihydroorotase</t>
  </si>
  <si>
    <t>EC-3.5.2.3</t>
  </si>
  <si>
    <t>2,3-dihydroxyphenylpropionate dehydrogenase</t>
  </si>
  <si>
    <t>diaminohydroxyphosphoribosylaminopryrimidine deaminase (25drapp)</t>
  </si>
  <si>
    <t>EC-3.5.4.26</t>
  </si>
  <si>
    <t>dihydropteroate synthase</t>
  </si>
  <si>
    <t>4,5-dihydroxy-2,3-pentanedione cyclization (spontaneous)</t>
  </si>
  <si>
    <t>3-dehydroquinate dehydratase</t>
  </si>
  <si>
    <t>EC-4.2.1.10</t>
  </si>
  <si>
    <t>3-dehydroquinate synthase</t>
  </si>
  <si>
    <t>deoxyinosine transport in via proton symport</t>
  </si>
  <si>
    <t>2,5-diketo-D-gluconate reductase</t>
  </si>
  <si>
    <t>2,5-diketo-D-gluconate reductase (NADH)</t>
  </si>
  <si>
    <t>2,5-diketo-D-gluconate reductase (NADPH)</t>
  </si>
  <si>
    <t>2,3-diketo-5-methylthio-1-phosphopentane degradation reaction</t>
  </si>
  <si>
    <t>D-lactate transport via proton symport</t>
  </si>
  <si>
    <t>dimethylallyltranstransferase</t>
  </si>
  <si>
    <t>EC-2.5.1.1</t>
  </si>
  <si>
    <t>1-hydroxy-2-methyl-2-(E)-butenyl 4-diphosphate reductase (dmpp)</t>
  </si>
  <si>
    <t>1,48,94</t>
  </si>
  <si>
    <t>3-Dimethylubiquinonol 3-methyltransferase</t>
  </si>
  <si>
    <t>Dimethyl sulfoxide reductase (Menaquinol 8)</t>
  </si>
  <si>
    <t>Dimethyl sulfoxide reductase (Demethylmenaquinol 8)</t>
  </si>
  <si>
    <t>Dihydroneopterin monophosphate dephosphorylase</t>
  </si>
  <si>
    <t>Dihydroneopterin triphosphate pyrophosphatase</t>
  </si>
  <si>
    <t>2,3 dioxo-L-gulonate reductase</t>
  </si>
  <si>
    <t>dephospho-CoA kinase</t>
  </si>
  <si>
    <t>EC-2.7.1.24</t>
  </si>
  <si>
    <t>2-dehydropantoate 2-reductase</t>
  </si>
  <si>
    <t>EC-1.1.1.169</t>
  </si>
  <si>
    <t>deoxyribose-phosphate aldolase</t>
  </si>
  <si>
    <t>EC-4.1.2.4</t>
  </si>
  <si>
    <t>D-serine transport via proton symport</t>
  </si>
  <si>
    <t>dTMP kinase</t>
  </si>
  <si>
    <t>EC-2.7.4.9</t>
  </si>
  <si>
    <t>deoxyuridine kinase (ATP:Deoxyuridine)</t>
  </si>
  <si>
    <t>deoxyuridine phosphorylase</t>
  </si>
  <si>
    <t>deoxyuridine transport in via proton symport</t>
  </si>
  <si>
    <t>dUTP diphosphatase</t>
  </si>
  <si>
    <t>EC-3.6.1.23</t>
  </si>
  <si>
    <t>1-deoxy-D-xylulose reductoisomerase</t>
  </si>
  <si>
    <t>1-deoxy-D-xylulose 5-phosphate synthase</t>
  </si>
  <si>
    <t>1-Deoxy-D-xylulose kinase</t>
  </si>
  <si>
    <t>Erythrose 4-phosphate dehydrogenase</t>
  </si>
  <si>
    <t>ECA polymerization (Ecoli)</t>
  </si>
  <si>
    <t>2-dehydro-3-deoxy-phosphogluconate aldolase</t>
  </si>
  <si>
    <t>Pentose Phosphate Cycle</t>
  </si>
  <si>
    <t>EC-4.1.2.14</t>
  </si>
  <si>
    <t>6-phosphogluconate dehydratase</t>
  </si>
  <si>
    <t>Endotoxin Synthesis (lauroyl transferase)</t>
  </si>
  <si>
    <t>Endotoxin Synthesis (myristoyl transferase)</t>
  </si>
  <si>
    <t>Endotoxin Synthesis (palmitoleoyl ACP)</t>
  </si>
  <si>
    <t>enolase</t>
  </si>
  <si>
    <t>Glycolysis/Gluconeogenesis</t>
  </si>
  <si>
    <t>EC-4.2.1.11</t>
  </si>
  <si>
    <t>enterochelin synthase</t>
  </si>
  <si>
    <t>Ethanolamine ammonia-lyase</t>
  </si>
  <si>
    <t>EC-4.3.1.7</t>
  </si>
  <si>
    <t>ethanol reversible transport via proton symport</t>
  </si>
  <si>
    <t>fructose 6-phosphate aldolase</t>
  </si>
  <si>
    <t>Fatty acid oxidation (tetradecanoate)</t>
  </si>
  <si>
    <t>Fatty acid oxidation (n-C16:0)</t>
  </si>
  <si>
    <t>Fatty acid oxidation (octadecanoate)</t>
  </si>
  <si>
    <t>fatty acid oxidation (Butanoyl-CoA )</t>
  </si>
  <si>
    <t>fructose-bisphosphate aldolase</t>
  </si>
  <si>
    <t>EC-4.1.2.13</t>
  </si>
  <si>
    <t>fructose-bisphosphatase</t>
  </si>
  <si>
    <t>EC-3.1.3.11</t>
  </si>
  <si>
    <t>L-fucose isomerase</t>
  </si>
  <si>
    <t>EC-5.3.1.25</t>
  </si>
  <si>
    <t>L-fuculokinase</t>
  </si>
  <si>
    <t>EC-2.7.1.51</t>
  </si>
  <si>
    <t>L-fuculose 1-phosphate aldolase</t>
  </si>
  <si>
    <t>EC-4.1.2.17</t>
  </si>
  <si>
    <t>Ferrochelatase</t>
  </si>
  <si>
    <t>EC-4.99.1.1</t>
  </si>
  <si>
    <t>formate dehydrogenase (quinone-8: 2 protons)</t>
  </si>
  <si>
    <t>Formate Dehydrogenase (menaquinone-8: 2 protons)</t>
  </si>
  <si>
    <t>iron (II) transport via ABC system</t>
  </si>
  <si>
    <t>beta-fructofuranosidase</t>
  </si>
  <si>
    <t>EC-3.2.1.26</t>
  </si>
  <si>
    <t>Formate-hydrogen lyase</t>
  </si>
  <si>
    <t>FMN adenylyltransferase</t>
  </si>
  <si>
    <t>EC-2.7.7.2</t>
  </si>
  <si>
    <t>formate transport via diffusion</t>
  </si>
  <si>
    <t>fumarate reductase</t>
  </si>
  <si>
    <t>EC-1.3.99.1</t>
  </si>
  <si>
    <t>fructose-1-phosphate kinase</t>
  </si>
  <si>
    <t>EC-2.7.1.56</t>
  </si>
  <si>
    <t>D-fructose transport via PEP:Pyr PTS</t>
  </si>
  <si>
    <t>Fructose transport via PEP:Pyr PTS (f6p generating)</t>
  </si>
  <si>
    <t>formyltetrahydrofolate deformylase</t>
  </si>
  <si>
    <t>Folate Metabolism</t>
  </si>
  <si>
    <t>EC-3.5.1.10</t>
  </si>
  <si>
    <t>Fucose 1-phosphate transport via phosphate antiport</t>
  </si>
  <si>
    <t>L-fucose transport via proton symport</t>
  </si>
  <si>
    <t>fumarase</t>
  </si>
  <si>
    <t>EC-4.2.1.2</t>
  </si>
  <si>
    <t>Fumarate transport via proton symport (2 H)</t>
  </si>
  <si>
    <t>FUMt23</t>
  </si>
  <si>
    <t>Fumarate transport via proton symport (3 H)</t>
  </si>
  <si>
    <t>glucosamine-1-phosphate N-acetyltransferase</t>
  </si>
  <si>
    <t>EC-2.3.1.157</t>
  </si>
  <si>
    <t>Glucose-1-phosphatase</t>
  </si>
  <si>
    <t>EC-3.1.3.10</t>
  </si>
  <si>
    <t>glucose-1-phosphate thymidylyltransferase</t>
  </si>
  <si>
    <t>EC-2.7.7.24</t>
  </si>
  <si>
    <t>glutamate-1-semialdehyde aminotransferase</t>
  </si>
  <si>
    <t>EC-5.4.3.8</t>
  </si>
  <si>
    <t>glycerol-3-phosphate dehydrogenase (NADP)</t>
  </si>
  <si>
    <t>EC-1.1.1.94</t>
  </si>
  <si>
    <t>glycerol-3-phosphate dehydrogenase (ubiquinone-8)</t>
  </si>
  <si>
    <t>EC-1.1.99.5</t>
  </si>
  <si>
    <t>glycerol-3-phosphate dehydrogenase (menaquinone-8)</t>
  </si>
  <si>
    <t>glycerol-3-phosphate dehydrogenase (demethylmenaquinone-8)</t>
  </si>
  <si>
    <t>L-glutamate 5-semialdehyde dehydratase (spontaneous)</t>
  </si>
  <si>
    <t>glutamate-5-semialdehyde dehydrogenase</t>
  </si>
  <si>
    <t>EC-1.2.1.41</t>
  </si>
  <si>
    <t>glucosamine-6-phosphate deaminase</t>
  </si>
  <si>
    <t>EC-3.5.99.6</t>
  </si>
  <si>
    <t>glucose 6-phosphate dehydrogenase</t>
  </si>
  <si>
    <t>EC-1.1.1.49</t>
  </si>
  <si>
    <t>Glucose-6-phosphate transport via phosphate antiport</t>
  </si>
  <si>
    <t>D-galactose transport via ABC system</t>
  </si>
  <si>
    <t>galactarate dehydratase</t>
  </si>
  <si>
    <t>EC-4.2.1.42</t>
  </si>
  <si>
    <t>galactonate dehydratase</t>
  </si>
  <si>
    <t>EC-4.2.1.6</t>
  </si>
  <si>
    <t>D-galactonate transport via proton symport, reversible</t>
  </si>
  <si>
    <t>D-galactarte transport via proton symport, reversible</t>
  </si>
  <si>
    <t>galactokinase</t>
  </si>
  <si>
    <t>EC-2.7.1.6</t>
  </si>
  <si>
    <t>a-galactosidase (melibiose)</t>
  </si>
  <si>
    <t>EC-3.2.1.22</t>
  </si>
  <si>
    <t>D-galactose transport in via proton symport</t>
  </si>
  <si>
    <t>Galactitol transport via PEP:Pyr PTS</t>
  </si>
  <si>
    <t>UTP-glucose-1-phosphate uridylyltransferase</t>
  </si>
  <si>
    <t>EC-2.7.7.9</t>
  </si>
  <si>
    <t>GALUi</t>
  </si>
  <si>
    <t>UTP-glucose-1-phosphate uridylyltransferase (irreversible)</t>
  </si>
  <si>
    <t>D-galacturonate transport via proton symport, reversible</t>
  </si>
  <si>
    <t>D-glucosamine transport via PEP:Pyr PTS</t>
  </si>
  <si>
    <t>glyceraldehyde-3-phosphate dehydrogenase</t>
  </si>
  <si>
    <t>EC-1.2.1.12</t>
  </si>
  <si>
    <t>phosphoribosylglycinamide formyltransferase</t>
  </si>
  <si>
    <t>EC-2.1.2.2</t>
  </si>
  <si>
    <t>GAR transformylase-T</t>
  </si>
  <si>
    <t>Glycolaldehyde dehydrogenase</t>
  </si>
  <si>
    <t>EC-1.2.1.21</t>
  </si>
  <si>
    <t>58,68</t>
  </si>
  <si>
    <t>GDP-4-dehydro-6-deoxy-D-mannose epimerase</t>
  </si>
  <si>
    <t>glutamine-fructose-6-phosphate transaminase</t>
  </si>
  <si>
    <t>EC-2.6.1.16</t>
  </si>
  <si>
    <t>glycine hydroxymethyltransferase</t>
  </si>
  <si>
    <t>Glycine and Serine Metabolism</t>
  </si>
  <si>
    <t>EC-2.1.2.1</t>
  </si>
  <si>
    <t>guanylate kinase (GMP:ATP)</t>
  </si>
  <si>
    <t>Glucose dehydrogenase (ubiquinone-8 as acceptor)</t>
  </si>
  <si>
    <t>D-gluconate transport via proton symport, reversible</t>
  </si>
  <si>
    <t>glycogen phosphorylase</t>
  </si>
  <si>
    <t>EC-2.4.1.1</t>
  </si>
  <si>
    <t>D-glucose transport via PEP:Pyr PTS</t>
  </si>
  <si>
    <t>5-dehydro-4-deoxyglucarate aldolase</t>
  </si>
  <si>
    <t>EC-4.1.2.20</t>
  </si>
  <si>
    <t>glucarate dehydratase</t>
  </si>
  <si>
    <t>EC-4.2.1.40</t>
  </si>
  <si>
    <t>D-glucarate transport via proton symport, reversible</t>
  </si>
  <si>
    <t>glycogen synthase (ADPGlc)</t>
  </si>
  <si>
    <t>EC-2.4.1.21</t>
  </si>
  <si>
    <t>D-glucose transport in via proton symport</t>
  </si>
  <si>
    <t>D-glucuronate transport via proton symport, reversible</t>
  </si>
  <si>
    <t>glucose-1-phosphate adenylyltransferase</t>
  </si>
  <si>
    <t>EC-2.7.7.27</t>
  </si>
  <si>
    <t>L-glutamine transport via ABC system</t>
  </si>
  <si>
    <t>glutamine synthetase</t>
  </si>
  <si>
    <t>Glutamate metabolism</t>
  </si>
  <si>
    <t>EC-6.3.1.2</t>
  </si>
  <si>
    <t>Galactitol-1-phosphate dehydrogenase</t>
  </si>
  <si>
    <t>glutamate 5-kinase</t>
  </si>
  <si>
    <t>EC-2.7.2.11</t>
  </si>
  <si>
    <t>L-glutamate transport via ABC system</t>
  </si>
  <si>
    <t>4-aminobutyrate/glutamate antiport</t>
  </si>
  <si>
    <t>gamma-glutamylcysteine synthetase</t>
  </si>
  <si>
    <t>EC-6.3.2.2</t>
  </si>
  <si>
    <t>Glutamate Decarboxylase</t>
  </si>
  <si>
    <t>EC-4.1.1.15</t>
  </si>
  <si>
    <t>glutamate dehydrogenase (NADP)</t>
  </si>
  <si>
    <t>EC-1.4.1.4</t>
  </si>
  <si>
    <t>glutaminase</t>
  </si>
  <si>
    <t>EC-3.5.1.2</t>
  </si>
  <si>
    <t>glutamine phosphoribosyldiphosphate amidotransferase</t>
  </si>
  <si>
    <t>EC-2.4.2.14</t>
  </si>
  <si>
    <t>glutamate racemase</t>
  </si>
  <si>
    <t>EC-5.1.1.3</t>
  </si>
  <si>
    <t>glutamate synthase (NADPH)</t>
  </si>
  <si>
    <t>EC-1.4.1.13</t>
  </si>
  <si>
    <t>L-glutamate transport via proton symport, reversible</t>
  </si>
  <si>
    <t>Na+/glutamate symport</t>
  </si>
  <si>
    <t>glutamyl-tRNA reductase</t>
  </si>
  <si>
    <t>Glutamyl-tRNA synthetase</t>
  </si>
  <si>
    <t>EC-6.1.1.17</t>
  </si>
  <si>
    <t>glyoxalate carboligase</t>
  </si>
  <si>
    <t>Glyoxylate Metabolism</t>
  </si>
  <si>
    <t>EC-4.1.1.47</t>
  </si>
  <si>
    <t>Glyceraldehyde facilitated diffusion</t>
  </si>
  <si>
    <t>glycine C-acetyltransferase (irreversible)</t>
  </si>
  <si>
    <t>EC-2.3.1.29</t>
  </si>
  <si>
    <t>Glycine betaine transport via ABC system</t>
  </si>
  <si>
    <t>Glycine betaine transport via proton symport, reversible</t>
  </si>
  <si>
    <t>sn-Glycerol 3-phosphate transport via ABC system</t>
  </si>
  <si>
    <t>Glycerol-3-phosphate : phosphate antiporter</t>
  </si>
  <si>
    <t>Glycerol dehydrogenase</t>
  </si>
  <si>
    <t>EC-1.1.1.6</t>
  </si>
  <si>
    <t>glycerate kinase</t>
  </si>
  <si>
    <t>EC-2.7.1.31</t>
  </si>
  <si>
    <t>Glycine Cleavage System</t>
  </si>
  <si>
    <t>Glycolate dehydrogenase (NAD)</t>
  </si>
  <si>
    <t>Glycolate dehydrogenase (NADP)</t>
  </si>
  <si>
    <t>glycolate transport via proton symport, reversible</t>
  </si>
  <si>
    <t>glycerol transport via channel</t>
  </si>
  <si>
    <t>Glycolate oxidase</t>
  </si>
  <si>
    <t>glycerol kinase</t>
  </si>
  <si>
    <t>EC-2.7.1.30</t>
  </si>
  <si>
    <t>hydroxyacylglutathione hydrolase</t>
  </si>
  <si>
    <t>Methylglyoxal Metabolism</t>
  </si>
  <si>
    <t>EC-3.1.2.6</t>
  </si>
  <si>
    <t>19,58</t>
  </si>
  <si>
    <t>glycine reversible transport via proton symport</t>
  </si>
  <si>
    <t>GDP-D-mannose dehydratase</t>
  </si>
  <si>
    <t>EC-4.2.1.47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</si>
  <si>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</si>
  <si>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</si>
  <si>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</si>
  <si>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</si>
  <si>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EC-1.6.6.8</t>
  </si>
  <si>
    <t>GMP synthase</t>
  </si>
  <si>
    <t>EC-6.3.5.2</t>
  </si>
  <si>
    <t>phosphogluconate dehydrogenase</t>
  </si>
  <si>
    <t>EC-1.1.1.44</t>
  </si>
  <si>
    <t>gluconokinase</t>
  </si>
  <si>
    <t>EC-2.7.1.12</t>
  </si>
  <si>
    <t>GDP-4-oxo-L-fucose reductase</t>
  </si>
  <si>
    <t>Gp4G hydrolase</t>
  </si>
  <si>
    <t>Glycerophosphodiester phosphodiesterase (Glycerophosphocholine)</t>
  </si>
  <si>
    <t>EC-3.1.4.46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</si>
  <si>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</si>
  <si>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</si>
  <si>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</si>
  <si>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</si>
  <si>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geranyltranstransferase</t>
  </si>
  <si>
    <t>EC-2.5.1.10</t>
  </si>
  <si>
    <t>guanosine kinase</t>
  </si>
  <si>
    <t>guanosine transport in via proton symport</t>
  </si>
  <si>
    <t>Glutathionylspermidine amidase</t>
  </si>
  <si>
    <t>EC-3.5.1.78</t>
  </si>
  <si>
    <t>Glutathionylspermidine synthetase</t>
  </si>
  <si>
    <t>EC-6.3.1.8</t>
  </si>
  <si>
    <t>glutathione oxidoreductase</t>
  </si>
  <si>
    <t>EC-1.6.4.2</t>
  </si>
  <si>
    <t>glutathione synthetase</t>
  </si>
  <si>
    <t>EC-6.3.2.3</t>
  </si>
  <si>
    <t>GTP cyclohydrolase I</t>
  </si>
  <si>
    <t>EC-3.5.4.16</t>
  </si>
  <si>
    <t>GTP cyclohydrolase II (25drapp)</t>
  </si>
  <si>
    <t>guanine deaminase</t>
  </si>
  <si>
    <t>EC-3.5.4.3</t>
  </si>
  <si>
    <t>guanine phosphoribosyltransferase</t>
  </si>
  <si>
    <t>Guanine transport</t>
  </si>
  <si>
    <t>glucuronate isomerase (D-glucuronate)</t>
  </si>
  <si>
    <t>EC-5.3.1.12</t>
  </si>
  <si>
    <t>glucuronate isomerase (D-galacturonate)</t>
  </si>
  <si>
    <t>H2O transport via diffusion</t>
  </si>
  <si>
    <t>Hydroxybenzoate octaprenyltransferase</t>
  </si>
  <si>
    <t>3-hydroxycinnamic acid transport via proton symport, reversible</t>
  </si>
  <si>
    <t>Hexadecanoate transport via proton symport</t>
  </si>
  <si>
    <t>Heme O synthase</t>
  </si>
  <si>
    <t>hydroxyethylthiazole kinase</t>
  </si>
  <si>
    <t>EC-2.7.1.50</t>
  </si>
  <si>
    <t>hexokinase (D-glucose:ATP)</t>
  </si>
  <si>
    <t>EC-2.7.1.1</t>
  </si>
  <si>
    <t>L-histidine transport via ABC system</t>
  </si>
  <si>
    <t>L-histidine reversible transport via proton symport</t>
  </si>
  <si>
    <t>histidinol dehydrogenase</t>
  </si>
  <si>
    <t>EC-1.1.1.23</t>
  </si>
  <si>
    <t>histidinol-phosphatase</t>
  </si>
  <si>
    <t>EC-3.1.3.15</t>
  </si>
  <si>
    <t>2-hydroxy-6-ketonona-2,4-dienedioic acid hydrolase</t>
  </si>
  <si>
    <t>24,31</t>
  </si>
  <si>
    <t>2-hydroxy-6-ketononotrienedioate hydrolase</t>
  </si>
  <si>
    <t>hydroxymethylbilane synthase</t>
  </si>
  <si>
    <t>EC-4.3.1.8</t>
  </si>
  <si>
    <t>hydroxymethylpyrimidine kinase (ATP)</t>
  </si>
  <si>
    <t>EC-2.7.1.49</t>
  </si>
  <si>
    <t>4-hydroxy-2-oxopentanoate aldolase</t>
  </si>
  <si>
    <t>6-hydroxymethyl-dihydropterin pyrophosphokinase</t>
  </si>
  <si>
    <t>2,3-dihydroxypheylpropionate 1,2-dioxygenase</t>
  </si>
  <si>
    <t>EC-1.13.11.16</t>
  </si>
  <si>
    <t>12,24</t>
  </si>
  <si>
    <t>3-(3-hydroxyphenyl)propionate transport via proton symport, reversible</t>
  </si>
  <si>
    <t>hydroxypyruvate isomerase</t>
  </si>
  <si>
    <t>EC-5.3.1.22</t>
  </si>
  <si>
    <t>Hydroxypyruvate reductase (NADH)</t>
  </si>
  <si>
    <t>Hydroxypyruvate reductase (NADPH)</t>
  </si>
  <si>
    <t>homoserine dehydrogenase (NADPH)</t>
  </si>
  <si>
    <t>EC-1.1.1.3</t>
  </si>
  <si>
    <t>homoserine kinase</t>
  </si>
  <si>
    <t>EC-2.7.1.39</t>
  </si>
  <si>
    <t>homoserine O-succinyltransferase</t>
  </si>
  <si>
    <t>EC-2.3.1.46</t>
  </si>
  <si>
    <t>histidinol-phosphate transaminase</t>
  </si>
  <si>
    <t>EC-2.6.1.9</t>
  </si>
  <si>
    <t>hypoxanthine phosphoribosyltransferase (Hypoxanthine)</t>
  </si>
  <si>
    <t>EC-2.4.2.8</t>
  </si>
  <si>
    <t>hydrogenase (ubiquinone-8: 2 protons)</t>
  </si>
  <si>
    <t>Hydrogenase (menaquinone8: 2 protons)</t>
  </si>
  <si>
    <t>Hydrogenase (Demethylmenaquinone-8: 2 protons)</t>
  </si>
  <si>
    <t>hypothetical enyme</t>
  </si>
  <si>
    <t>Hypoxanthine transport</t>
  </si>
  <si>
    <t>isocitrate dehydrogenase (NADP)</t>
  </si>
  <si>
    <t>EC-1.1.1.42</t>
  </si>
  <si>
    <t>Isochorismate Synthase</t>
  </si>
  <si>
    <t>isochorismatase</t>
  </si>
  <si>
    <t>EC-3.3.2.1</t>
  </si>
  <si>
    <t>Isocitrate lyase</t>
  </si>
  <si>
    <t>Anaplerotic reactions</t>
  </si>
  <si>
    <t>EC-4.1.3.1</t>
  </si>
  <si>
    <t>L-idonate 5-dehydrogenase</t>
  </si>
  <si>
    <t>L-indonate 5-dehydrogenase (NADP)</t>
  </si>
  <si>
    <t>L-idonate transport via proton symport, reversible</t>
  </si>
  <si>
    <t>Imidazole-glycerol-3-phosphate synthase</t>
  </si>
  <si>
    <t>imidazoleglycerol-phosphate dehydratase</t>
  </si>
  <si>
    <t>EC-4.2.1.19</t>
  </si>
  <si>
    <t>indole-3-glycerol-phosphate synthase</t>
  </si>
  <si>
    <t>EC-4.1.1.48</t>
  </si>
  <si>
    <t>L-isoleucine transport via ABC system</t>
  </si>
  <si>
    <t>L-isoleucine reversible transport via proton symport</t>
  </si>
  <si>
    <t>isoleucine transaminase</t>
  </si>
  <si>
    <t>EC-2.6.1.42</t>
  </si>
  <si>
    <t>IMP cyclohydrolase</t>
  </si>
  <si>
    <t>EC-3.5.4.10</t>
  </si>
  <si>
    <t>IMP dehydrogenase</t>
  </si>
  <si>
    <t>EC-1.1.1.205</t>
  </si>
  <si>
    <t>Indole transport via proton symport, reversible</t>
  </si>
  <si>
    <t>insosine kinase</t>
  </si>
  <si>
    <t>EC-2.7.1.73</t>
  </si>
  <si>
    <t>inosine transport in via proton symport</t>
  </si>
  <si>
    <t>INSt2r</t>
  </si>
  <si>
    <t>inosine transport in via proton symport, reversible</t>
  </si>
  <si>
    <t>isopentenyl-diphosphate D-isomerase</t>
  </si>
  <si>
    <t>EC-5.3.3.2</t>
  </si>
  <si>
    <t>1-hydroxy-2-methyl-2-(E)-butenyl 4-diphosphate reductase (ipdp)</t>
  </si>
  <si>
    <t>3-isopropylmalate dehydrogenase</t>
  </si>
  <si>
    <t>EC-1.1.1.85</t>
  </si>
  <si>
    <t>3-isopropylmalate dehydratase</t>
  </si>
  <si>
    <t>EC-4.2.1.33</t>
  </si>
  <si>
    <t>2-isopropylmalate hydratase</t>
  </si>
  <si>
    <t>2-isopropylmalate synthase</t>
  </si>
  <si>
    <t>EC-4.1.3.12</t>
  </si>
  <si>
    <t>Potassium ABC transporter</t>
  </si>
  <si>
    <t>acetohydroxy acid isomeroreductase</t>
  </si>
  <si>
    <t>EC-1.1.1.86</t>
  </si>
  <si>
    <t>ketol-acid reductoisomerase (2-Aceto-2-hydroxybutanoate)</t>
  </si>
  <si>
    <t>b-ketoacyl synthase</t>
  </si>
  <si>
    <t>3-hydroxy-myristoyl-ACP synthesis</t>
  </si>
  <si>
    <t>3-deoxy-manno-octulosonate cytidylyltransferase</t>
  </si>
  <si>
    <t>EC-2.7.7.38</t>
  </si>
  <si>
    <t>3-deoxy-manno-octulosonate-8-phosphatase</t>
  </si>
  <si>
    <t>EC-3.1.3.45</t>
  </si>
  <si>
    <t>3-deoxy -D-manno-octulosonic -acid 8-phosphate</t>
  </si>
  <si>
    <t>EC-4.1.2.16</t>
  </si>
  <si>
    <t>3-keto-L-gulonate 6-phosphate decarboxylase</t>
  </si>
  <si>
    <t>potassium reversible transport  via proton symport</t>
  </si>
  <si>
    <t>b-galactosidase</t>
  </si>
  <si>
    <t>EC-3.2.1.23</t>
  </si>
  <si>
    <t>lactaldehyde dehydrogenase</t>
  </si>
  <si>
    <t>EC-1.2.1.22</t>
  </si>
  <si>
    <t>LCADi</t>
  </si>
  <si>
    <t>lacaldehyde reductase</t>
  </si>
  <si>
    <t>EC-1.1.1.77</t>
  </si>
  <si>
    <t>Lactose transport via proton symport</t>
  </si>
  <si>
    <t>D-lactate dehydrogenase</t>
  </si>
  <si>
    <t>EC-1.1.1.28</t>
  </si>
  <si>
    <t>EC-1.1.2.4</t>
  </si>
  <si>
    <t>L-leucine transport via ABC system</t>
  </si>
  <si>
    <t>L-leucine reversible transport via proton symport</t>
  </si>
  <si>
    <t>leucine transaminase (irreversible)</t>
  </si>
  <si>
    <t>lactoylglutathione lyase</t>
  </si>
  <si>
    <t>EC-4.4.1.5</t>
  </si>
  <si>
    <t>L-Lactate dehydrogenase (ubiquinone)</t>
  </si>
  <si>
    <t>EC-1.1.2.3</t>
  </si>
  <si>
    <t>L-Lactate dehydrogenase (menaquinone)</t>
  </si>
  <si>
    <t>L-lactate reversible transport via proton symport</t>
  </si>
  <si>
    <t>Lipid A disaccaride synthase</t>
  </si>
  <si>
    <t>EC-2.4.1.182</t>
  </si>
  <si>
    <t>Lysophospholipase L (acyl-glycerophosphoglycerol)</t>
  </si>
  <si>
    <t>Lysophospholipase L (acyl-glycerophosphoethanolamine)</t>
  </si>
  <si>
    <t>Lysophospholipase L (acyl-glycerophosphocholinel)</t>
  </si>
  <si>
    <t>Lysophospholipase L (acyl transfer to phosphatidylglycerol)</t>
  </si>
  <si>
    <t>Lipopolysaccharide synthesis (Ecoli)</t>
  </si>
  <si>
    <t>L-lysine transport via ABC system</t>
  </si>
  <si>
    <t>lysine decarboxylase</t>
  </si>
  <si>
    <t>EC-4.1.1.18</t>
  </si>
  <si>
    <t>L-lysine reversible transport via proton symport</t>
  </si>
  <si>
    <t>mannitol-1-phosphate 5-dehydrogenase</t>
  </si>
  <si>
    <t>EC-1.1.1.17</t>
  </si>
  <si>
    <t>Malonyl-ACP decarboxylase</t>
  </si>
  <si>
    <t>malate synthase</t>
  </si>
  <si>
    <t>EC-4.1.3.2</t>
  </si>
  <si>
    <t>Malate transport via proton symport (2 H)</t>
  </si>
  <si>
    <t>MALt23</t>
  </si>
  <si>
    <t>Malate transport via proton symport (3 H)</t>
  </si>
  <si>
    <t>maltose transport via ABC system</t>
  </si>
  <si>
    <t>maltohexaose transport via ABC system</t>
  </si>
  <si>
    <t>maltopentaose transport via ABC system</t>
  </si>
  <si>
    <t>maltose transport via PEP:Pyr PTS</t>
  </si>
  <si>
    <t>Maltotriose transport via ABC system</t>
  </si>
  <si>
    <t>maltotetraose transport via ABC system</t>
  </si>
  <si>
    <t>mannose-1-phosphate guanylyltransferase (GDP)</t>
  </si>
  <si>
    <t>EC-2.7.7.22</t>
  </si>
  <si>
    <t>mannose-6-phosphate isomerase</t>
  </si>
  <si>
    <t>EC-5.3.1.8</t>
  </si>
  <si>
    <t>Mannose-6-phosphate transport via phosphate antiport</t>
  </si>
  <si>
    <t>Mannonate oxidoreductase</t>
  </si>
  <si>
    <t>EC-1.1.1.57</t>
  </si>
  <si>
    <t>D-mannose transport via PEP:Pyr PTS</t>
  </si>
  <si>
    <t>2-methylcitrate dehydratase</t>
  </si>
  <si>
    <t>EC-4.2.1.79</t>
  </si>
  <si>
    <t>methylisocitrate lyase</t>
  </si>
  <si>
    <t>EC-4.1.3.30</t>
  </si>
  <si>
    <t>2-methylcitrate synthase</t>
  </si>
  <si>
    <t>EC-4.1.3.31</t>
  </si>
  <si>
    <t>Malonyl-CoA-ACP transacylase</t>
  </si>
  <si>
    <t>EC-2.3.1.39</t>
  </si>
  <si>
    <t>malate dehydrogenase</t>
  </si>
  <si>
    <t>EC-1.1.1.37</t>
  </si>
  <si>
    <t>Malate dehydrogenase (ubiquinone 8 as acceptor)</t>
  </si>
  <si>
    <t>EC-1.1.99.16</t>
  </si>
  <si>
    <t>Malate dehydrogenase (menaquinone 8 as acceptor)</t>
  </si>
  <si>
    <t>5-Methylthio-5-deoxy-D-ribulose 1-phosphate dehydratase</t>
  </si>
  <si>
    <t>malic enzyme (NAD)</t>
  </si>
  <si>
    <t>EC-1.1.1.38</t>
  </si>
  <si>
    <t>malic enzyme (NADP)</t>
  </si>
  <si>
    <t>EC-1.1.1.40</t>
  </si>
  <si>
    <t>2C-methyl-D-erythritol 2,4 cyclodiphosphate dehydratase</t>
  </si>
  <si>
    <t>2-C-methyl-D-erythritol 2,4-cyclodiphosphate synthase</t>
  </si>
  <si>
    <t>melibiose transport in via symport</t>
  </si>
  <si>
    <t>2-C-methyl-D-erythritol 4-phosphate cytidylyltransferase</t>
  </si>
  <si>
    <t>L-methionine transport via ABC system</t>
  </si>
  <si>
    <t>methionine adenosyltransferase</t>
  </si>
  <si>
    <t>EC-2.5.1.6</t>
  </si>
  <si>
    <t>D-methionine transport via ABC system</t>
  </si>
  <si>
    <t>methionine synthase</t>
  </si>
  <si>
    <t>EC-2.1.1.13</t>
  </si>
  <si>
    <t>methylglyoxal synthase</t>
  </si>
  <si>
    <t>EC-4.2.3.3</t>
  </si>
  <si>
    <t>myo-inositol 1-phosphatase</t>
  </si>
  <si>
    <t>EC-3.1.3.25</t>
  </si>
  <si>
    <t>2-methylisocitrate dehydratase</t>
  </si>
  <si>
    <t>EC-4.2.1.99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</si>
  <si>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</si>
  <si>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</si>
  <si>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</si>
  <si>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</si>
  <si>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</si>
  <si>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Maltodextrin phosphorylase (maltopentaose)</t>
  </si>
  <si>
    <t>Maltodextrin phosphorylase (maltohexaose)</t>
  </si>
  <si>
    <t>Maltodextrin phosphorylase (maltoheptaose)</t>
  </si>
  <si>
    <t>Methylmalonyl-CoA decarboxylase</t>
  </si>
  <si>
    <t>EC-4.1.1.41</t>
  </si>
  <si>
    <t>methylmalonyl-CoA epimerase</t>
  </si>
  <si>
    <t>EC-5.1.99.1</t>
  </si>
  <si>
    <t>Methylmalonyl-CoA mutase</t>
  </si>
  <si>
    <t>EC-5.4.99.2</t>
  </si>
  <si>
    <t>mannitol transport via PEP:Pyr PTS</t>
  </si>
  <si>
    <t>D-mannonate hydrolyase</t>
  </si>
  <si>
    <t>EC-4.2.1.8</t>
  </si>
  <si>
    <t>3-deoxy-D-manno-octulosonic acid transferase</t>
  </si>
  <si>
    <t>3-methyl-2-oxobutanoate hydroxymethyltransferase</t>
  </si>
  <si>
    <t>EC-2.1.2.11</t>
  </si>
  <si>
    <t>methylthioadenosine nucleosidase</t>
  </si>
  <si>
    <t>EC-3.2.2.16</t>
  </si>
  <si>
    <t>methenyltetrahydrofolate cyclohydrolase</t>
  </si>
  <si>
    <t>EC-3.5.4.9</t>
  </si>
  <si>
    <t>methylenetetrahydrofolate dehydrogenase (NADP)</t>
  </si>
  <si>
    <t>EC-1.5.1.5</t>
  </si>
  <si>
    <t>5,10-methylenetetrahydrofolate reductase (NADH)</t>
  </si>
  <si>
    <t>5-methylthioribose-1-phosphate isomerase</t>
  </si>
  <si>
    <t>EC-5.3.1.23</t>
  </si>
  <si>
    <t>5-methylthioribose kinase</t>
  </si>
  <si>
    <t>EC-2.7.1.100</t>
  </si>
  <si>
    <t>N-acetylornithine deacetylase</t>
  </si>
  <si>
    <t>Nicotinic acid uptake</t>
  </si>
  <si>
    <t>NAD diphosphatase</t>
  </si>
  <si>
    <t>EC-3.6.1.22</t>
  </si>
  <si>
    <t>NAD diphosphatase (extracellular)</t>
  </si>
  <si>
    <t>NADH dehydrogenase (menaquinone-8 &amp; 0 protons)</t>
  </si>
  <si>
    <t>EC-1.6.5.3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</si>
  <si>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</si>
  <si>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</si>
  <si>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</si>
  <si>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</si>
  <si>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</si>
  <si>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</si>
  <si>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EC-2.7.1.23</t>
  </si>
  <si>
    <t>NADP phosphatase</t>
  </si>
  <si>
    <t>NAD synthase (nh3)</t>
  </si>
  <si>
    <t>EC-6.3.1.5</t>
  </si>
  <si>
    <t>nicotinic acid mononucleotide pyrophosphorylase</t>
  </si>
  <si>
    <t>sodium proton antiporter (H:NA is 1:1)</t>
  </si>
  <si>
    <t>sodium proton antiporter (H:NA is 1.5)</t>
  </si>
  <si>
    <t>NAt32</t>
  </si>
  <si>
    <t>sodium proton antiporter (H:NA is 2)</t>
  </si>
  <si>
    <t>nucleoside-diphosphate kinase (ATP:GDP)</t>
  </si>
  <si>
    <t>EC-2.7.4.6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</si>
  <si>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</si>
  <si>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</si>
  <si>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</si>
  <si>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</si>
  <si>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</si>
  <si>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</si>
  <si>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</si>
  <si>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ammonia reversible transport</t>
  </si>
  <si>
    <t>nicotinamide-nucleotide adenylyltransferase</t>
  </si>
  <si>
    <t>EC-2.7.7.1</t>
  </si>
  <si>
    <t>nicotinamide-nucleotide amidase</t>
  </si>
  <si>
    <t>EC-3.5.1.42</t>
  </si>
  <si>
    <t>NMN nucleosidase</t>
  </si>
  <si>
    <t>EC-3.2.2.14</t>
  </si>
  <si>
    <t>NMN permease</t>
  </si>
  <si>
    <t>NMN transport via NMN glycohydrolase</t>
  </si>
  <si>
    <t>nicotinamidase</t>
  </si>
  <si>
    <t>EC-3.5.1.19</t>
  </si>
  <si>
    <t>nicotinate-nucleotide adenylyltransferase</t>
  </si>
  <si>
    <t>EC-2.7.7.18</t>
  </si>
  <si>
    <t>Nicotinate-nucleotide dimethylbenzimidazole phosphoribosyltransferase</t>
  </si>
  <si>
    <t>nicotinate-nucleotide diphosphorylase (carboxylating)</t>
  </si>
  <si>
    <t>EC-2.4.2.19</t>
  </si>
  <si>
    <t>nitrite transport in via proton symport, reversible</t>
  </si>
  <si>
    <t>Nitrate reductase (Ubiquinol-8)</t>
  </si>
  <si>
    <t>Nitrate reductase (Menaquinol-8)</t>
  </si>
  <si>
    <t>nitrate transport in via nitrite antiport</t>
  </si>
  <si>
    <t>naphthoate synthase</t>
  </si>
  <si>
    <t>EC-4.1.3.36</t>
  </si>
  <si>
    <t>5'-nucleotidase (dUMP)</t>
  </si>
  <si>
    <t>EC-3.1.3.5</t>
  </si>
  <si>
    <t>5'-nucleotidase (XMP)</t>
  </si>
  <si>
    <t>5'-nucleotidase (IMP)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</si>
  <si>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</si>
  <si>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</si>
  <si>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</si>
  <si>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</si>
  <si>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</si>
  <si>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</si>
  <si>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</si>
  <si>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</si>
  <si>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 triphosphate pyrophosphorylase (dgtp)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</si>
  <si>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</si>
  <si>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</si>
  <si>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</si>
  <si>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</si>
  <si>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</si>
  <si>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</si>
  <si>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</si>
  <si>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tripolyhydrolase</t>
  </si>
  <si>
    <t>EC-3.1.5.1</t>
  </si>
  <si>
    <t>Nitrite Reductase</t>
  </si>
  <si>
    <t>o2 transport (diffusion)</t>
  </si>
  <si>
    <t>2-Oxobutanoate formate lyase</t>
  </si>
  <si>
    <t>ornithine carbamoyltransferase</t>
  </si>
  <si>
    <t>EC-2.1.3.3</t>
  </si>
  <si>
    <t>Octadecanoate transport via proton symport</t>
  </si>
  <si>
    <t>Octaprenyl pyrophosphate synthase</t>
  </si>
  <si>
    <t>O-Phospho-4-hydroxy-L-threonine:2-oxoglutarate aminotransferase</t>
  </si>
  <si>
    <t>EC-2.6.1.52</t>
  </si>
  <si>
    <t>2-octaprenyl-6-hydroxyphenol methylase</t>
  </si>
  <si>
    <t>2-Octaprenyl-6-methoxy-benzoquinol methylase</t>
  </si>
  <si>
    <t>2-Oxo-4-methyl-3-carboxypentanoate decarboxylation</t>
  </si>
  <si>
    <t>2-Octaprenyl-3-methyl-6-methoxy-1,4-benzoquinol hydroxylase</t>
  </si>
  <si>
    <t>orotidine-5'-phosphate decarboxylase</t>
  </si>
  <si>
    <t>EC-4.1.1.23</t>
  </si>
  <si>
    <t>2-octaprenyl-6-methoxyphenol hydroxylase</t>
  </si>
  <si>
    <t>2-oxopent-4-enoate hydratase</t>
  </si>
  <si>
    <t>EC-4.2.1.80</t>
  </si>
  <si>
    <t>Octaprenyl-hydroxybenzoate decarboxylase</t>
  </si>
  <si>
    <t>2-Octaprenylphenol hydroxylase</t>
  </si>
  <si>
    <t>ornithine transport via ABC system</t>
  </si>
  <si>
    <t>Ornithine Decarboxylase</t>
  </si>
  <si>
    <t>EC-4.1.1.17</t>
  </si>
  <si>
    <t>ornithine transaminase</t>
  </si>
  <si>
    <t>EC-2.6.1.13</t>
  </si>
  <si>
    <t>orotate phosphoribosyltransferase</t>
  </si>
  <si>
    <t>EC-2.4.2.10</t>
  </si>
  <si>
    <t>2-oxoglutarate decarboxylase</t>
  </si>
  <si>
    <t>EC-4.1.1.71</t>
  </si>
  <si>
    <t>1-pyrroline-5-carboxylate dehydrogenase</t>
  </si>
  <si>
    <t>EC-1.5.1.12</t>
  </si>
  <si>
    <t>pyrroline-5-carboxylate reductase</t>
  </si>
  <si>
    <t>EC-1.5.1.2</t>
  </si>
  <si>
    <t>phenylacetate-CoA ligase</t>
  </si>
  <si>
    <t>EC-6.2.1.30</t>
  </si>
  <si>
    <t>25,32</t>
  </si>
  <si>
    <t>pantothenate synthase</t>
  </si>
  <si>
    <t>EC-6.3.2.1</t>
  </si>
  <si>
    <t>Phosphatidate phosphatase</t>
  </si>
  <si>
    <t>EC-3.1.3.4</t>
  </si>
  <si>
    <t>phospho-N-acetylmuramoyl-pentapeptide-transferase (meso-2,6-diaminopimelate)</t>
  </si>
  <si>
    <t>EC-2.7.8.13</t>
  </si>
  <si>
    <t>phosphoadenylyl-sulfate reductase (thioredoxin)</t>
  </si>
  <si>
    <t>EC-1.8.4.8</t>
  </si>
  <si>
    <t>Phosphatidic acid synthase (Ecoli)</t>
  </si>
  <si>
    <t>pyruvate dehydrogenase</t>
  </si>
  <si>
    <t>pyridoxine 5'-phosphate oxidase</t>
  </si>
  <si>
    <t>EC-1.4.3.5</t>
  </si>
  <si>
    <t>Pyridoxine 5'-phosphate synthase</t>
  </si>
  <si>
    <t>Pyridoxine 5-phosphate phosphatase</t>
  </si>
  <si>
    <t>Phenethylamine oxidase</t>
  </si>
  <si>
    <t>EC-1.4.3.6</t>
  </si>
  <si>
    <t>ethanolamine phosphotransferase</t>
  </si>
  <si>
    <t>EC-2.7.8.1</t>
  </si>
  <si>
    <t>Erythronate 4-phosphate (4per) dehydrogenase</t>
  </si>
  <si>
    <t>phosphofructokinase</t>
  </si>
  <si>
    <t>EC-2.7.1.11</t>
  </si>
  <si>
    <t>Phosphofructokinase</t>
  </si>
  <si>
    <t>pyruvate formate lyase</t>
  </si>
  <si>
    <t>phosphoglucosamine mutase</t>
  </si>
  <si>
    <t>EC-5.4.2.10</t>
  </si>
  <si>
    <t>phosphoglycerate dehydrogenase</t>
  </si>
  <si>
    <t>EC-1.1.1.95</t>
  </si>
  <si>
    <t>glucose-6-phosphate isomerase</t>
  </si>
  <si>
    <t>EC-5.3.1.9</t>
  </si>
  <si>
    <t>phosphoglycerate kinase</t>
  </si>
  <si>
    <t>EC-2.7.2.3</t>
  </si>
  <si>
    <t>6-phosphogluconolactonase</t>
  </si>
  <si>
    <t>EC-3.1.1.31</t>
  </si>
  <si>
    <t>Phosphoglycolate phosphatase</t>
  </si>
  <si>
    <t>EC-3.1.3.18</t>
  </si>
  <si>
    <t>58,69</t>
  </si>
  <si>
    <t>phosphoglycerate mutase</t>
  </si>
  <si>
    <t>EC-5.4.2.1</t>
  </si>
  <si>
    <t>phosphoglucomutase</t>
  </si>
  <si>
    <t>EC-5.4.2.2</t>
  </si>
  <si>
    <t>Phosphatidylglycerol phosphate phosphatase (Ecoli)</t>
  </si>
  <si>
    <t>EC-3.1.3.27</t>
  </si>
  <si>
    <t>Phosphatidylglycerol synthase (Ecoli)</t>
  </si>
  <si>
    <t>EC-2.7.8.5</t>
  </si>
  <si>
    <t>L-phenylalanine reversible transport via proton symport</t>
  </si>
  <si>
    <t>phenylalanine transaminase</t>
  </si>
  <si>
    <t>EC-2.6.1.58</t>
  </si>
  <si>
    <t>phosphate transport via ABC system</t>
  </si>
  <si>
    <t>phosphate reversible transport via symport</t>
  </si>
  <si>
    <t>Phospholipase A (phosphatidylglycerol)</t>
  </si>
  <si>
    <t>Phosphlipase A (phosphatidylethanolamine)</t>
  </si>
  <si>
    <t>74,96</t>
  </si>
  <si>
    <t>Phospholipase A (phosphatidylcholine)</t>
  </si>
  <si>
    <t>phosphomannomutase</t>
  </si>
  <si>
    <t>EC-5.4.2.8</t>
  </si>
  <si>
    <t>pyrimidine phosphatase</t>
  </si>
  <si>
    <t>phosphomethylpyrimidine kinase</t>
  </si>
  <si>
    <t>EC-2.7.4.7</t>
  </si>
  <si>
    <t>pantothenate kinase</t>
  </si>
  <si>
    <t>EC-2.7.1.33</t>
  </si>
  <si>
    <t>Pantothenate sodium symporter</t>
  </si>
  <si>
    <t>pyruvate oxidase</t>
  </si>
  <si>
    <t>EC-1.2.2.2</t>
  </si>
  <si>
    <t>inorganic diphosphatase</t>
  </si>
  <si>
    <t>EC-3.6.1.1</t>
  </si>
  <si>
    <t>Propionate kinase</t>
  </si>
  <si>
    <t>porphobilinogen synthase</t>
  </si>
  <si>
    <t>EC-4.2.1.24</t>
  </si>
  <si>
    <t>phosphoenolpyruvate carboxylase</t>
  </si>
  <si>
    <t>EC-4.1.1.31</t>
  </si>
  <si>
    <t>phosphopantothenoylcysteine decarboxylase</t>
  </si>
  <si>
    <t>EC-4.1.1.36</t>
  </si>
  <si>
    <t>phosphoenolpyruvate carboxykinase</t>
  </si>
  <si>
    <t>EC-4.1.1.49</t>
  </si>
  <si>
    <t>Propanoyl-CoA: succinate CoA-transferase</t>
  </si>
  <si>
    <t>phosphopentomutase</t>
  </si>
  <si>
    <t>EC-5.4.2.7</t>
  </si>
  <si>
    <t>phosphopentomutase 2 (deoxyribose)</t>
  </si>
  <si>
    <t>phosphopantothenate-cysteine ligase</t>
  </si>
  <si>
    <t>EC-6.3.2.5</t>
  </si>
  <si>
    <t>prephenate dehydrogenase</t>
  </si>
  <si>
    <t>EC-1.3.1.12</t>
  </si>
  <si>
    <t>prephenate dehydratase</t>
  </si>
  <si>
    <t>EC-4.2.1.51</t>
  </si>
  <si>
    <t>protoporphyrinogen oxidase</t>
  </si>
  <si>
    <t>EC-1.3.3.4</t>
  </si>
  <si>
    <t>Phenylpropanoate Dioxygenase</t>
  </si>
  <si>
    <t>3-phenylpropionate transport via proton symport, reversible</t>
  </si>
  <si>
    <t>phosphoenolpyruvate synthase</t>
  </si>
  <si>
    <t>EC-2.7.9.2</t>
  </si>
  <si>
    <t>Peptidoglycan subunit synthesis</t>
  </si>
  <si>
    <t>phosphoribosylglycinamide synthase</t>
  </si>
  <si>
    <t>EC-6.3.4.13</t>
  </si>
  <si>
    <t>phosphoribosylanthranilate isomerase (irreversible)</t>
  </si>
  <si>
    <t>EC-5.3.1.24</t>
  </si>
  <si>
    <t>phosphoribosylaminoimidazole synthase</t>
  </si>
  <si>
    <t>EC-6.3.3.1</t>
  </si>
  <si>
    <t>phosphoribosyl-AMP cyclohydrolase</t>
  </si>
  <si>
    <t>EC-3.5.4.19</t>
  </si>
  <si>
    <t>phosphoribosylaminoimidazolesuccinocarboxamide synthase</t>
  </si>
  <si>
    <t>EC-6.3.2.6</t>
  </si>
  <si>
    <t>phosphoribosyl-ATP pyrophosphatase</t>
  </si>
  <si>
    <t>EC-3.6.1.31</t>
  </si>
  <si>
    <t>phosphoribosylformylglycinamidine synthase</t>
  </si>
  <si>
    <t>EC-6.3.5.3</t>
  </si>
  <si>
    <t>1-(5-phosphoribosyl)-5-[(5-phosphoribosylamino)methylideneamino)imidazole-4-carboxamide isomerase (irreversible)</t>
  </si>
  <si>
    <t>EC-5.3.1.16</t>
  </si>
  <si>
    <t>L-proline transport via ABC system</t>
  </si>
  <si>
    <t>Proline dehydrogenase</t>
  </si>
  <si>
    <t>EC-1.5.99.8</t>
  </si>
  <si>
    <t>L-proline reversible transport via proton symport</t>
  </si>
  <si>
    <t>Na+/Proline-L symporter</t>
  </si>
  <si>
    <t>phosphoribosylpyrophosphate synthetase</t>
  </si>
  <si>
    <t>EC-2.7.6.1</t>
  </si>
  <si>
    <t>3-phosphoshikimate 1-carboxyvinyltransferase</t>
  </si>
  <si>
    <t>EC-2.5.1.19</t>
  </si>
  <si>
    <t>Phosphatidylserine decarboxylase (Ecoli)</t>
  </si>
  <si>
    <t>EC-4.1.1.65</t>
  </si>
  <si>
    <t>phosphoserine transaminase</t>
  </si>
  <si>
    <t>phosphoserine phosphatase (L-serine)</t>
  </si>
  <si>
    <t>EC-3.1.3.3</t>
  </si>
  <si>
    <t>Phosphatidylserine syntase (Ecoli)</t>
  </si>
  <si>
    <t>EC-2.7.8.8</t>
  </si>
  <si>
    <t>Phosphate acetyltransferase</t>
  </si>
  <si>
    <t>phosphotransacetylase</t>
  </si>
  <si>
    <t>EC-2.3.1.8</t>
  </si>
  <si>
    <t>pantetheine-phosphate adenylyltransferase</t>
  </si>
  <si>
    <t>EC-2.7.7.3</t>
  </si>
  <si>
    <t>putrescine transport via ABC system</t>
  </si>
  <si>
    <t>putrescine/ornithine antiporter</t>
  </si>
  <si>
    <t>putrescine transport in via proton symport, reversible</t>
  </si>
  <si>
    <t>Putrescine Transaminase</t>
  </si>
  <si>
    <t>purine-nucleoside phosphorylase (Adenosine)</t>
  </si>
  <si>
    <t>EC-2.4.2.1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</si>
  <si>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</si>
  <si>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</si>
  <si>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</si>
  <si>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</si>
  <si>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</si>
  <si>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</si>
  <si>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5'-phosphate oxidase</t>
  </si>
  <si>
    <t>pyridoxamine kinase</t>
  </si>
  <si>
    <t>EC-2.7.1.35</t>
  </si>
  <si>
    <t>pyridoxal kinase</t>
  </si>
  <si>
    <t>pyridoxine kinase</t>
  </si>
  <si>
    <t>Pyridoxal 5-phosphate phosphatase</t>
  </si>
  <si>
    <t>pyruvate kinase</t>
  </si>
  <si>
    <t>EC-2.7.1.40</t>
  </si>
  <si>
    <t>pyrimidine-nucleoside phosphorylase (uracil)</t>
  </si>
  <si>
    <t>EC-2.4.2.2</t>
  </si>
  <si>
    <t>pyruvate reversible transport via proton symport</t>
  </si>
  <si>
    <t>quinolinate synthase</t>
  </si>
  <si>
    <t>riboflavin kinase</t>
  </si>
  <si>
    <t>EC-2.7.1.26</t>
  </si>
  <si>
    <t>riboflavin synthase</t>
  </si>
  <si>
    <t>EC-2.5.1.9</t>
  </si>
  <si>
    <t>ribokinase</t>
  </si>
  <si>
    <t>EC-2.7.1.15</t>
  </si>
  <si>
    <t>L-ribulokinase (L-ribulose)</t>
  </si>
  <si>
    <t>EC-2.7.1.16</t>
  </si>
  <si>
    <t>L-ribulose-phosphate 4-epimerase</t>
  </si>
  <si>
    <t>EC-5.1.3.4</t>
  </si>
  <si>
    <t>S-ribosylhomocysteine cleavage enzyme</t>
  </si>
  <si>
    <t>D-ribose transport via ABC system</t>
  </si>
  <si>
    <t>L-rhamnose isomerase</t>
  </si>
  <si>
    <t>EC-5.3.1.14</t>
  </si>
  <si>
    <t>rhamnulokinase</t>
  </si>
  <si>
    <t>EC-2.7.1.5</t>
  </si>
  <si>
    <t>L-rhamnose transport via proton symport</t>
  </si>
  <si>
    <t>Rhamnulose-1-phosphate aldolase</t>
  </si>
  <si>
    <t>EC-4.1.2.19</t>
  </si>
  <si>
    <t>ribonucleoside-diphosphate reductase (ADP)</t>
  </si>
  <si>
    <t>EC-1.17.4.1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</si>
  <si>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</si>
  <si>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</si>
  <si>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</si>
  <si>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</si>
  <si>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EC-1.17.4.2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</si>
  <si>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</si>
  <si>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</si>
  <si>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</si>
  <si>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</si>
  <si>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EC-5.1.3.1</t>
  </si>
  <si>
    <t>ribose-5-phosphate isomerase</t>
  </si>
  <si>
    <t>EC-5.3.1.6</t>
  </si>
  <si>
    <t>alpha-ribazole 5-phosphate phosphatase</t>
  </si>
  <si>
    <t>sedoheptulose 7-phosphate isomerase</t>
  </si>
  <si>
    <t>Succinylarginine dihydrolase</t>
  </si>
  <si>
    <t>EC-2.6.1.69</t>
  </si>
  <si>
    <t>Sulfate adenyltransferase</t>
  </si>
  <si>
    <t>sorbitol-6-phosphate dehydrogenase</t>
  </si>
  <si>
    <t>EC-1.1.1.140</t>
  </si>
  <si>
    <t>D-sorbitol transport via PEP:Pyr PTS</t>
  </si>
  <si>
    <t>succinyl-diaminopimelate desuccinylase</t>
  </si>
  <si>
    <t>EC-3.5.1.18</t>
  </si>
  <si>
    <t>succinyldiaminopimelate transaminase</t>
  </si>
  <si>
    <t>EC-2.6.1.17</t>
  </si>
  <si>
    <t>Selenophosphate synthase</t>
  </si>
  <si>
    <t>EC-2.7.9.3</t>
  </si>
  <si>
    <t>(L-seryl)adenylate synthase</t>
  </si>
  <si>
    <t>serine O-acetyltransferase</t>
  </si>
  <si>
    <t>EC-2.3.1.30</t>
  </si>
  <si>
    <t>D-serine deaminase</t>
  </si>
  <si>
    <t>L-serine deaminase</t>
  </si>
  <si>
    <t>L-serine reversible transport via proton symport</t>
  </si>
  <si>
    <t>L-serine via sodium symport</t>
  </si>
  <si>
    <t>Succinylglutamate desuccinylase</t>
  </si>
  <si>
    <t>Succinylglutamic semialdehyde dehydrogenase</t>
  </si>
  <si>
    <t>2-succinyl-6-hydroxy-2,4-cyclohexadiene 1-carboxylate synthase</t>
  </si>
  <si>
    <t>sirohydrochlorin dehydrogenase (NAD)</t>
  </si>
  <si>
    <t>sirohydrochlorin ferrochetalase</t>
  </si>
  <si>
    <t>shikimate dehdrogenase</t>
  </si>
  <si>
    <t>EC-1.1.1.25</t>
  </si>
  <si>
    <t>shikimate kinase</t>
  </si>
  <si>
    <t>EC-2.7.1.71</t>
  </si>
  <si>
    <t>O-succinylhomoserine lyase (L-cysteine)</t>
  </si>
  <si>
    <t>EC-4.2.99.9</t>
  </si>
  <si>
    <t>Succinylornithine transaminase</t>
  </si>
  <si>
    <t>spermidine transport via ABC system</t>
  </si>
  <si>
    <t>Spermidine acetyltransferase</t>
  </si>
  <si>
    <t>EC-2.3.1.57</t>
  </si>
  <si>
    <t>Spermidine acetyltransferase (N8)</t>
  </si>
  <si>
    <t>spermidine synthase</t>
  </si>
  <si>
    <t>EC-2.5.1.16</t>
  </si>
  <si>
    <t>superoxide dismutase</t>
  </si>
  <si>
    <t>EC-1.15.1.1</t>
  </si>
  <si>
    <t>succinate-semialdehyde dehydrogenase (NAD)</t>
  </si>
  <si>
    <t>EC-1.2.1.16</t>
  </si>
  <si>
    <t>succinate-semialdehyde dehydrogenase (NADP)</t>
  </si>
  <si>
    <t>o-succinylbenzoate-CoA ligase</t>
  </si>
  <si>
    <t>EC-6.2.1.26</t>
  </si>
  <si>
    <t>O-succinylbenzoate-CoA synthase</t>
  </si>
  <si>
    <t>Succinate transport via ABC system</t>
  </si>
  <si>
    <t>succinate transport via proton symport (2 H)</t>
  </si>
  <si>
    <t>SUCCt23</t>
  </si>
  <si>
    <t>Succintate transport via proton symport (3 H)</t>
  </si>
  <si>
    <t>Succinate efflux via proton symport</t>
  </si>
  <si>
    <t>succinate dehydrogenase</t>
  </si>
  <si>
    <t>succinate dehyrdogenase</t>
  </si>
  <si>
    <t>succinate:fumarate antiporter</t>
  </si>
  <si>
    <t>succinyl-CoA synthetase (ADP-forming)</t>
  </si>
  <si>
    <t>EC-6.2.1.5</t>
  </si>
  <si>
    <t>sucrose transport via PEP:Pyr PTS</t>
  </si>
  <si>
    <t>sulfate transport via ABC system</t>
  </si>
  <si>
    <t>sulfite reductase (NADPH2)</t>
  </si>
  <si>
    <t>EC-1.8.2.2</t>
  </si>
  <si>
    <t>tagaturonate reductase</t>
  </si>
  <si>
    <t>EC-1.1.1.58</t>
  </si>
  <si>
    <t>transaldolase</t>
  </si>
  <si>
    <t>EC-2.2.1.2</t>
  </si>
  <si>
    <t>L(+)-tartrate dehydratase</t>
  </si>
  <si>
    <t>EC-4.2.1.32</t>
  </si>
  <si>
    <t>Tartrate/succinate antiporter</t>
  </si>
  <si>
    <t>Taurine dioxygenase</t>
  </si>
  <si>
    <t>EC-1.14.11.17</t>
  </si>
  <si>
    <t>taurine transport via ABC system</t>
  </si>
  <si>
    <t>dTDP-4-amino-4,6-dideoxy-D-glucose acetyltransferase</t>
  </si>
  <si>
    <t>dTDP-4-amino-4,6-dideoxy-D-glucose transaminase</t>
  </si>
  <si>
    <t>EC-2.6.1.33</t>
  </si>
  <si>
    <t>dTDP-4-dehydrorhamnose 3,5-epimerase</t>
  </si>
  <si>
    <t>EC-5.1.3.13</t>
  </si>
  <si>
    <t>dTDP-4-dehydrorhamnose reductase</t>
  </si>
  <si>
    <t>EC-1.1.1.133</t>
  </si>
  <si>
    <t>dTDPglucose 4,6-dehydratase</t>
  </si>
  <si>
    <t>EC-4.2.1.46</t>
  </si>
  <si>
    <t>Tetraacyldisaccharide 4'kinase</t>
  </si>
  <si>
    <t>EC-2.7.1.130</t>
  </si>
  <si>
    <t>2-Oxogluterate dehydrogenase</t>
  </si>
  <si>
    <t>NAD transhydrogenase</t>
  </si>
  <si>
    <t>Tagatose-bisphosphate aldolase</t>
  </si>
  <si>
    <t>EC-4.1.2.40</t>
  </si>
  <si>
    <t>NAD(P) transhydrogenase</t>
  </si>
  <si>
    <t>tetrahydropicolinate succinylase</t>
  </si>
  <si>
    <t>EC-2.3.1.117</t>
  </si>
  <si>
    <t>thiamine transport via ABC system</t>
  </si>
  <si>
    <t>thymidine transport in via proton symport</t>
  </si>
  <si>
    <t>THMDt2r</t>
  </si>
  <si>
    <t>thymidine transport in via proton symport, reversible</t>
  </si>
  <si>
    <t>L-threonine transport via ABC system</t>
  </si>
  <si>
    <t>Threonine Aldolase</t>
  </si>
  <si>
    <t>EC-4.1.2.5</t>
  </si>
  <si>
    <t>20,78</t>
  </si>
  <si>
    <t>L-threonine dehydrogenase</t>
  </si>
  <si>
    <t>EC-1.1.1.103</t>
  </si>
  <si>
    <t>L-threonine deaminase</t>
  </si>
  <si>
    <t>threonine synthase</t>
  </si>
  <si>
    <t>EC-4.2.3.1</t>
  </si>
  <si>
    <t>L-threonine reversible transport via proton symport</t>
  </si>
  <si>
    <t>L-threonine  via sodium symport</t>
  </si>
  <si>
    <t>thiazole phosphate synthesis</t>
  </si>
  <si>
    <t>6,66</t>
  </si>
  <si>
    <t>transketolase</t>
  </si>
  <si>
    <t>EC-2.2.1.1</t>
  </si>
  <si>
    <t>Trimethylamine N-oxide reductase (menaquinol 8)</t>
  </si>
  <si>
    <t>Trimethylamine N-oxide reductase (demethylmenaquinol 8)</t>
  </si>
  <si>
    <t>thymidine kinase (ATP:thymidine)</t>
  </si>
  <si>
    <t>EC-2.7.1.21</t>
  </si>
  <si>
    <t>thymidine phosphorylase</t>
  </si>
  <si>
    <t>EC-2.4.2.4</t>
  </si>
  <si>
    <t>thymidylate synthase</t>
  </si>
  <si>
    <t>EC-2.1.1.45</t>
  </si>
  <si>
    <t>thiamine kinase</t>
  </si>
  <si>
    <t>EC-2.7.1.89</t>
  </si>
  <si>
    <t>thiamine-phosphate kinase</t>
  </si>
  <si>
    <t>EC-2.7.4.16</t>
  </si>
  <si>
    <t>thiamine-phosphate diphosphorylase</t>
  </si>
  <si>
    <t>EC-2.5.1.3</t>
  </si>
  <si>
    <t>triose-phosphate isomerase</t>
  </si>
  <si>
    <t>EC-5.3.1.1</t>
  </si>
  <si>
    <t>thioredoxin reductase (NADPH)</t>
  </si>
  <si>
    <t>EC-1.6.4.5</t>
  </si>
  <si>
    <t>trehalose-6-phosphate hydrolase</t>
  </si>
  <si>
    <t>EC-3.2.1.93</t>
  </si>
  <si>
    <t>trehalose-phosphatase</t>
  </si>
  <si>
    <t>EC-3.1.3.12</t>
  </si>
  <si>
    <t>50,55</t>
  </si>
  <si>
    <t>alpha,alpha-trehalose-phosphate synthase (UDP-forming)</t>
  </si>
  <si>
    <t>EC-2.4.1.15</t>
  </si>
  <si>
    <t>38,50,55</t>
  </si>
  <si>
    <t>alpha,alpha-trehalase</t>
  </si>
  <si>
    <t>EC-3.2.1.28</t>
  </si>
  <si>
    <t>trehalose transport via PEP:Pyr PTS</t>
  </si>
  <si>
    <t>Tryptophanase (L-cysteine)</t>
  </si>
  <si>
    <t>EC-4.1.99.1</t>
  </si>
  <si>
    <t>Tryptophanase (L-tryptophan)</t>
  </si>
  <si>
    <t>tryptophan synthase (indoleglycerol phosphate)</t>
  </si>
  <si>
    <t>EC-4.2.1.20</t>
  </si>
  <si>
    <t>tryptophan synthase (indole)</t>
  </si>
  <si>
    <t>L-tryptophan reversible transport via proton symport</t>
  </si>
  <si>
    <t>tartronate semialdehyde reductase</t>
  </si>
  <si>
    <t>EC-1.1.1.60</t>
  </si>
  <si>
    <t>thiosulfate transport via ABC system</t>
  </si>
  <si>
    <t>Tetradecanoate transport via proton symport</t>
  </si>
  <si>
    <t>L-tyrosine reversible transport via proton symport</t>
  </si>
  <si>
    <t>tyrosine transaminase</t>
  </si>
  <si>
    <t>EC-2.6.1.5</t>
  </si>
  <si>
    <t>UDP-3-O-(3-hydroxymyristoyl)glucosamine acyltransferase</t>
  </si>
  <si>
    <t>UDP-N-acetylmuramoyl-L-alanyl-D-glutamyl-meso-2,6-diaminopimelate synthetase</t>
  </si>
  <si>
    <t>EC-6.3.2.13</t>
  </si>
  <si>
    <t>UDP-N-acetyl-D-mannosamine oxidoreductase</t>
  </si>
  <si>
    <t>UDP-N-acetylglucosamine 2-epimerase</t>
  </si>
  <si>
    <t>EC-5.1.3.14</t>
  </si>
  <si>
    <t>UDP-N-acetylglucosamine acyltransferase</t>
  </si>
  <si>
    <t>EC-2.3.1.129</t>
  </si>
  <si>
    <t>UDP-N-acetylglucosamine 1-carboxyvinyltransferase</t>
  </si>
  <si>
    <t>EC-2.5.1.7</t>
  </si>
  <si>
    <t>UDP-N-acetylglucosamine diphosphorylase</t>
  </si>
  <si>
    <t>EC-2.7.7.23</t>
  </si>
  <si>
    <t>UDP-N-acetylglucosamine-N-acetylmuramyl-(pentapeptide)pyrophosphoryl-undecaprenol N-acetylglucosamine transferase</t>
  </si>
  <si>
    <t>UDP-N-acetylmuramoyl-L-alanyl-D-glutamate synthetase</t>
  </si>
  <si>
    <t>EC-6.3.2.9</t>
  </si>
  <si>
    <t>UDP-N-acetylmuramoyl-L-alanine synthetase</t>
  </si>
  <si>
    <t>EC-6.3.2.8</t>
  </si>
  <si>
    <t>UDP-N-acetylenolpyruvoylglucosamine reductase</t>
  </si>
  <si>
    <t>EC-1.1.1.158</t>
  </si>
  <si>
    <t>undecaprenyl-diphosphatase</t>
  </si>
  <si>
    <t>EC-3.6.1.27</t>
  </si>
  <si>
    <t>Undecaprenyl diphosphate synthase</t>
  </si>
  <si>
    <t>UDPglucose 4-epimerase</t>
  </si>
  <si>
    <t>EC-5.1.3.2</t>
  </si>
  <si>
    <t>UDPgalactopyranose mutase</t>
  </si>
  <si>
    <t>EC-5.4.99.9</t>
  </si>
  <si>
    <t>UDPglucose 6-dehydrogenase</t>
  </si>
  <si>
    <t>EC-1.1.1.22</t>
  </si>
  <si>
    <t>UDPglucose--hexose-1-phosphate uridylyltransferase</t>
  </si>
  <si>
    <t>EC-2.7.7.12</t>
  </si>
  <si>
    <t>Ureidoglycolate hydrolase</t>
  </si>
  <si>
    <t>EC-3.5.3.19</t>
  </si>
  <si>
    <t>UDP-N-acetylmuramoyl-L-alanyl-D-glutamyl-meso-2,6-diaminopimeloyl-D-alanyl-D-alanine synthetase</t>
  </si>
  <si>
    <t>EC-6.3.2.15</t>
  </si>
  <si>
    <t>UDP-3-O-acetylglucosamine deacetylase</t>
  </si>
  <si>
    <t>UMP kinase</t>
  </si>
  <si>
    <t>2-keto-4-methylthiobutyrate transamination</t>
  </si>
  <si>
    <t>uroporphyrinogen methyltransferase</t>
  </si>
  <si>
    <t>EC-2.1.1.107</t>
  </si>
  <si>
    <t>uroporphyrinogen-III synthase</t>
  </si>
  <si>
    <t>EC-4.2.1.75</t>
  </si>
  <si>
    <t>uroporphyrinogen decarboxylase (uroporphyrinogen III)</t>
  </si>
  <si>
    <t>EC-4.1.1.37</t>
  </si>
  <si>
    <t>uracil phosphoribosyltransferase</t>
  </si>
  <si>
    <t>EC-2.4.2.9</t>
  </si>
  <si>
    <t>uracil transport in via proton symport</t>
  </si>
  <si>
    <t>URAt2r</t>
  </si>
  <si>
    <t>uracil transport in via proton symport, reversible</t>
  </si>
  <si>
    <t>Urea transport via facilitate diffusion</t>
  </si>
  <si>
    <t>uridylate kinase (dUMP)</t>
  </si>
  <si>
    <t>uridine kinase (GTP:Uridine)</t>
  </si>
  <si>
    <t>EC-2.7.1.48</t>
  </si>
  <si>
    <t>uridine transport in via proton symport</t>
  </si>
  <si>
    <t>URIt2r</t>
  </si>
  <si>
    <t>uridine transport in via proton symport, reversible</t>
  </si>
  <si>
    <t>UDP-sugar hydrolase</t>
  </si>
  <si>
    <t>L-valine transport via ABC system</t>
  </si>
  <si>
    <t>L-valine reversible transport via proton symport</t>
  </si>
  <si>
    <t>valine transaminase</t>
  </si>
  <si>
    <t>Valine-pyruvate aminotransferase</t>
  </si>
  <si>
    <t>EC-2.6.1.66</t>
  </si>
  <si>
    <t>L-xylulose 5-phosphate 3-epimerase</t>
  </si>
  <si>
    <t>xanthine reversible transport</t>
  </si>
  <si>
    <t>XANt2</t>
  </si>
  <si>
    <t>xanthine transport in via proton symport</t>
  </si>
  <si>
    <t>xanthine phosphoribosyltransferase</t>
  </si>
  <si>
    <t>EC-2.4.2.22</t>
  </si>
  <si>
    <t>Xanthosine transport via proton symport</t>
  </si>
  <si>
    <t>D-xylose transport via ABC system</t>
  </si>
  <si>
    <t>xylose isomerase</t>
  </si>
  <si>
    <t>EC-5.3.1.5</t>
  </si>
  <si>
    <t>xylulokinase</t>
  </si>
  <si>
    <t>EC-2.7.1.17</t>
  </si>
  <si>
    <t>D-xylose transport in via proton symport</t>
  </si>
  <si>
    <t>H2Otpp_0</t>
  </si>
  <si>
    <t>OTHER PARAMETERS</t>
  </si>
  <si>
    <t>Temperature [K]</t>
  </si>
  <si>
    <r>
      <t>Nh(biomass) [mmol g</t>
    </r>
    <r>
      <rPr>
        <b/>
        <vertAlign val="subscript"/>
        <sz val="11"/>
        <color theme="1"/>
        <rFont val="Calibri"/>
        <family val="2"/>
        <scheme val="minor"/>
      </rPr>
      <t>CDW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</si>
  <si>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t>http://www.ncbi.nlm.nih.gov/pubmed/20506321</t>
  </si>
  <si>
    <r>
      <t>d</t>
    </r>
    <r>
      <rPr>
        <b/>
        <vertAlign val="subscript"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G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(biomass) [kJ g</t>
    </r>
    <r>
      <rPr>
        <b/>
        <vertAlign val="subscript"/>
        <sz val="11"/>
        <color theme="1"/>
        <rFont val="Calibri"/>
        <family val="2"/>
        <scheme val="minor"/>
      </rPr>
      <t>CDW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</si>
  <si>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t>extracellular [e]</t>
  </si>
  <si>
    <t>cytosol [c]</t>
  </si>
  <si>
    <t>electrical membrane potential [V]</t>
  </si>
  <si>
    <t>DEFAULT BOUNDS FOR VARIABLES</t>
  </si>
  <si>
    <t>concentration [mM]</t>
  </si>
  <si>
    <r>
      <t>gbmo [kJ g</t>
    </r>
    <r>
      <rPr>
        <b/>
        <vertAlign val="subscript"/>
        <sz val="11"/>
        <color theme="1"/>
        <rFont val="Calibri"/>
        <family val="2"/>
        <scheme val="minor"/>
      </rPr>
      <t>CDW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vertAlign val="subscript"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h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</si>
  <si>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t>PHYSICAL CONSTANTS</t>
  </si>
  <si>
    <r>
      <t>Gas constant [kJ mol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 xml:space="preserve"> K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</si>
  <si>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r>
      <t>Faraday constant [kC mol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</si>
  <si>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r>
      <t>Debye-Hückel constant A [M</t>
    </r>
    <r>
      <rPr>
        <b/>
        <vertAlign val="superscript"/>
        <sz val="11"/>
        <color theme="1"/>
        <rFont val="Calibri"/>
        <family val="2"/>
        <scheme val="minor"/>
      </rPr>
      <t>-1/2</t>
    </r>
    <r>
      <rPr>
        <b/>
        <sz val="11"/>
        <color theme="1"/>
        <rFont val="Calibri"/>
        <family val="2"/>
        <scheme val="minor"/>
      </rPr>
      <t>]</t>
    </r>
  </si>
  <si>
    <r>
      <t>Debye-Hückel constant B [M</t>
    </r>
    <r>
      <rPr>
        <b/>
        <vertAlign val="superscript"/>
        <sz val="11"/>
        <color theme="1"/>
        <rFont val="Calibri"/>
        <family val="2"/>
        <scheme val="minor"/>
      </rPr>
      <t>-1/2</t>
    </r>
    <r>
      <rPr>
        <b/>
        <sz val="11"/>
        <color theme="1"/>
        <rFont val="Calibri"/>
        <family val="2"/>
        <scheme val="minor"/>
      </rPr>
      <t>]</t>
    </r>
  </si>
  <si>
    <t>fum[e] + (3) h[e] &lt;=&gt; fum[c] + (3) h[c]</t>
  </si>
  <si>
    <t>g1p[c] + h[c] + utp[c] &lt;=&gt; ppi[c] + udpg[c]</t>
  </si>
  <si>
    <t>glc-D[e] + h2o[e] + q8[c] &lt;=&gt; glcn[e] + h[e] + q8h2[c]</t>
  </si>
  <si>
    <t>h[e] + ins[e] &lt;=&gt; h[c] + ins[c]</t>
  </si>
  <si>
    <t>h2o[c] + lald-L[c] + nad[c] &lt;=&gt; (2) h[c] + lac-L[c] + nadh[c]</t>
  </si>
  <si>
    <t>(3) h[e] + mal-L[e] &lt;=&gt; (3) h[c] + mal-L[c]</t>
  </si>
  <si>
    <t>(2) h[e] + na1[c] &lt;=&gt; (2) h[c] + na1[e]</t>
  </si>
  <si>
    <t>(3) h[e] + succ[e] &lt;=&gt; (3) h[c] + succ[c]</t>
  </si>
  <si>
    <t>h[e] + thymd[e] &lt;=&gt; h[c] + thymd[c]</t>
  </si>
  <si>
    <t>h[e] + ura[e] &lt;=&gt; h[c] + ura[c]</t>
  </si>
  <si>
    <t>h[e] + uri[e] &lt;=&gt; h[c] + uri[c]</t>
  </si>
  <si>
    <t>h[e] + xan[e] &lt;=&gt; h[c] + xan[c]</t>
  </si>
  <si>
    <t>nH</t>
  </si>
  <si>
    <t>metabolit name</t>
  </si>
  <si>
    <t>molecular formular</t>
  </si>
  <si>
    <t>10-Formyltetrahydrofolate</t>
  </si>
  <si>
    <t>C20H22N7O7</t>
  </si>
  <si>
    <t>1,2-Diacylglycerol  (E.coli) **</t>
  </si>
  <si>
    <t>C1836H3448O250</t>
  </si>
  <si>
    <t>3-Phospho-D-glyceroyl phosphate</t>
  </si>
  <si>
    <t>C3H4O10P2</t>
  </si>
  <si>
    <t>1,5-Diaminopentane</t>
  </si>
  <si>
    <t>C5H16N2</t>
  </si>
  <si>
    <t>1-Pyrroline-5-carboxylate</t>
  </si>
  <si>
    <t>C5H6NO2</t>
  </si>
  <si>
    <t>2,3-Dihydrodipicolinate</t>
  </si>
  <si>
    <t>C7H5NO4</t>
  </si>
  <si>
    <t>(R)-2,3-Dihydroxy-3-methylbutanoate</t>
  </si>
  <si>
    <t>C5H9O4</t>
  </si>
  <si>
    <t>(R)-2,3-Dihydroxy-3-methylpentanoate</t>
  </si>
  <si>
    <t>C6H11O4</t>
  </si>
  <si>
    <t>(S)-2-[5-Amino-1-(5-phospho-D-ribosyl)imidazole-4-carboxamido]succinate</t>
  </si>
  <si>
    <t>C13H15N4O12P</t>
  </si>
  <si>
    <t>2,5-diketo-D-gluconate</t>
  </si>
  <si>
    <t>C6H7O7</t>
  </si>
  <si>
    <t>2,5-Diamino-6-(ribosylamino)-4-(3H)-pyrimidinone 5'-phosphate</t>
  </si>
  <si>
    <t>C9H14N5O8P</t>
  </si>
  <si>
    <t>LL-2,6-Diaminoheptanedioate</t>
  </si>
  <si>
    <t>C7H14N2O4</t>
  </si>
  <si>
    <t>meso-2,6-Diaminoheptanedioate</t>
  </si>
  <si>
    <t>(S)-2-Aceto-2-hydroxybutanoate</t>
  </si>
  <si>
    <t>C6H9O4</t>
  </si>
  <si>
    <t>L-2-Amino-3-oxobutanoate</t>
  </si>
  <si>
    <t>C4H7NO3</t>
  </si>
  <si>
    <t>1-(2-Carboxyphenylamino)-1-deoxy-D-ribulose 5-phosphate</t>
  </si>
  <si>
    <t>C12H13NO9P</t>
  </si>
  <si>
    <t>2-Dehydro-3-deoxy-D-arabino-heptonate 7-phosphate</t>
  </si>
  <si>
    <t>C7H10O10P</t>
  </si>
  <si>
    <t>2-Dehydro-3-deoxy-D-gluconate 6-phosphate</t>
  </si>
  <si>
    <t>C6H8O9P</t>
  </si>
  <si>
    <t>2-Dehydro-3-deoxy-D-gluconate</t>
  </si>
  <si>
    <t>C6H9O6</t>
  </si>
  <si>
    <t>2-Dehydro-D-gluconate</t>
  </si>
  <si>
    <t>C6H9O7</t>
  </si>
  <si>
    <t>2-Dehydro-L-gulonate</t>
  </si>
  <si>
    <t>2-Dehydropantoate</t>
  </si>
  <si>
    <t>2-Demethylmenaquinone 8</t>
  </si>
  <si>
    <t>C50H70O2</t>
  </si>
  <si>
    <t>2-Demethylmenaquinol 8</t>
  </si>
  <si>
    <t>C50H72O2</t>
  </si>
  <si>
    <t>2-Deoxy-D-ribose 1-phosphate</t>
  </si>
  <si>
    <t>C5H9O7P</t>
  </si>
  <si>
    <t>2-Deoxy-D-ribose 5-phosphate</t>
  </si>
  <si>
    <t>2-Hydroxy-3-oxopropanoate</t>
  </si>
  <si>
    <t>C3H3O4</t>
  </si>
  <si>
    <t>2-Isopropylmaleate</t>
  </si>
  <si>
    <t>C7H8O4</t>
  </si>
  <si>
    <t>2-keto-4-methylthiobutyrate</t>
  </si>
  <si>
    <t>C5H7O3S</t>
  </si>
  <si>
    <t>cis-2-Methylaconitate</t>
  </si>
  <si>
    <t>C7H5O6</t>
  </si>
  <si>
    <t>2-Methylcitrate</t>
  </si>
  <si>
    <t>C7H7O7</t>
  </si>
  <si>
    <t>2-Oxobutanoate</t>
  </si>
  <si>
    <t>C4H5O3</t>
  </si>
  <si>
    <t>D-Glycerate 2-phosphate</t>
  </si>
  <si>
    <t>C3H4O7P</t>
  </si>
  <si>
    <t>3-(4-Hydroxyphenyl)pyruvate</t>
  </si>
  <si>
    <t>C9H7O4</t>
  </si>
  <si>
    <t>3-Carboxy-2-hydroxy-4-methylpentanoate</t>
  </si>
  <si>
    <t>C7H10O5</t>
  </si>
  <si>
    <t>3-Carboxy-3-hydroxy-4-methylpentanoate</t>
  </si>
  <si>
    <t>3-Carboxy-4-methyl-2-oxopentanoate</t>
  </si>
  <si>
    <t>C7H8O5</t>
  </si>
  <si>
    <t>3-Dehydroquinate</t>
  </si>
  <si>
    <t>C7H9O6</t>
  </si>
  <si>
    <t>3-Dehydroshikimate</t>
  </si>
  <si>
    <t>C7H7O5</t>
  </si>
  <si>
    <t>3-hydroxycinnamic acid</t>
  </si>
  <si>
    <t>C9H7O3</t>
  </si>
  <si>
    <t>R-3-hydroxy-myristoyl-ACP</t>
  </si>
  <si>
    <t>C25H47N2O9PRS</t>
  </si>
  <si>
    <t>3-(3-hydroxy-phenyl)propionate</t>
  </si>
  <si>
    <t>C9H9O3</t>
  </si>
  <si>
    <t>C'-(3-Indolyl)-glycerol 3-phosphate</t>
  </si>
  <si>
    <t>C11H12NO6P</t>
  </si>
  <si>
    <t>3-Methyl-2-oxobutanoate</t>
  </si>
  <si>
    <t>C5H7O3</t>
  </si>
  <si>
    <t>(S)-3-Methyl-2-oxopentanoate</t>
  </si>
  <si>
    <t>C6H9O3</t>
  </si>
  <si>
    <t>3-Phospho-D-glycerate</t>
  </si>
  <si>
    <t>3-Phosphohydroxypyruvate</t>
  </si>
  <si>
    <t>C3H2O7P</t>
  </si>
  <si>
    <t>5-O-(1-Carboxyvinyl)-3-phosphoshikimate</t>
  </si>
  <si>
    <t>C10H9O10P</t>
  </si>
  <si>
    <t>4-Aminobutanoate</t>
  </si>
  <si>
    <t>C4H9NO2</t>
  </si>
  <si>
    <t>4-Aminobutanal</t>
  </si>
  <si>
    <t>C4H10NO</t>
  </si>
  <si>
    <t>4-Aminobenzoate</t>
  </si>
  <si>
    <t>C7H6NO2</t>
  </si>
  <si>
    <t>4-amino-4-deoxychorismate</t>
  </si>
  <si>
    <t>C10H10NO5</t>
  </si>
  <si>
    <t>4-Methyl-2-oxopentanoate</t>
  </si>
  <si>
    <t>4-Phospho-L-aspartate</t>
  </si>
  <si>
    <t>C4H6NO7P</t>
  </si>
  <si>
    <t>D-4'-Phosphopantothenate</t>
  </si>
  <si>
    <t>C9H15NO8P</t>
  </si>
  <si>
    <t>N-((R)-4-Phosphopantothenoyl)-L-cysteine</t>
  </si>
  <si>
    <t>C12H20N2O9PS</t>
  </si>
  <si>
    <t>4-(1-D-Ribitylamino)-5-aminouracil</t>
  </si>
  <si>
    <t>C9H16N4O6</t>
  </si>
  <si>
    <t>5-amino-1-(5-phospho-D-ribosyl)imidazole-4-carboxylate</t>
  </si>
  <si>
    <t>C9H11N3O9P</t>
  </si>
  <si>
    <t>5-Amino-6-(5'-phosphoribitylamino)uracil</t>
  </si>
  <si>
    <t>C9H15N4O9P</t>
  </si>
  <si>
    <t>5-Amino-6-(5'-phosphoribosylamino)uracil</t>
  </si>
  <si>
    <t>C9H13N4O9P</t>
  </si>
  <si>
    <t>5-phosphoribosyl-5-carboxyaminoimidazole</t>
  </si>
  <si>
    <t>5-Dehydro-D-gluconate</t>
  </si>
  <si>
    <t>5-Methylthio-5-deoxy-D-ribose 1-phosphate</t>
  </si>
  <si>
    <t>C6H11O7PS</t>
  </si>
  <si>
    <t>5-Methylthio-5-deoxy-D-ribulose 1-phosphate</t>
  </si>
  <si>
    <t>5-Methylthioadenosine</t>
  </si>
  <si>
    <t>C11H15N5O3S</t>
  </si>
  <si>
    <t>5-Methyltetrahydrofolate</t>
  </si>
  <si>
    <t>C20H24N7O6</t>
  </si>
  <si>
    <t>5-Methylthio-D-ribose</t>
  </si>
  <si>
    <t>C6H12O4S</t>
  </si>
  <si>
    <t>6-hydroxymethyl dihydropterin</t>
  </si>
  <si>
    <t>C7H10N5O2</t>
  </si>
  <si>
    <t>6-hydroxymethyl-dihydropterin pyrophosphate</t>
  </si>
  <si>
    <t>C7H9N5O8P2</t>
  </si>
  <si>
    <t>6-Phospho-D-gluconate</t>
  </si>
  <si>
    <t>C6H10O10P</t>
  </si>
  <si>
    <t>6-phospho-D-glucono-1,5-lactone</t>
  </si>
  <si>
    <t>C6H9O9P</t>
  </si>
  <si>
    <t>Acetate</t>
  </si>
  <si>
    <t>C2H3O2</t>
  </si>
  <si>
    <t>Acetoacetate</t>
  </si>
  <si>
    <t>Acetyl-ACP</t>
  </si>
  <si>
    <t>C13H23N2O8PRS</t>
  </si>
  <si>
    <t>Acetaldehyde</t>
  </si>
  <si>
    <t>C2H4O</t>
  </si>
  <si>
    <t>Acetyl-CoA</t>
  </si>
  <si>
    <t>C23H34N7O17P3S</t>
  </si>
  <si>
    <t>N-Acetyl-L-glutamyl 5-phosphate</t>
  </si>
  <si>
    <t>C7H9NO8P</t>
  </si>
  <si>
    <t>N-Acetyl-L-glutamate 5-semialdehyde</t>
  </si>
  <si>
    <t>C7H10NO4</t>
  </si>
  <si>
    <t>N-Acetyl-D-glucosamine 1-phosphate</t>
  </si>
  <si>
    <t>C8H14NO9P</t>
  </si>
  <si>
    <t>N-Acetyl-L-glutamate</t>
  </si>
  <si>
    <t>C7H9NO5</t>
  </si>
  <si>
    <t>N-Acetylneuraminate</t>
  </si>
  <si>
    <t>C11H18NO9</t>
  </si>
  <si>
    <t>N2-Acetyl-L-ornithine</t>
  </si>
  <si>
    <t>C7H14N2O3</t>
  </si>
  <si>
    <t>acyl carrier protein</t>
  </si>
  <si>
    <t>C11H21N2O7PRS</t>
  </si>
  <si>
    <t>O-Acetyl-L-serine</t>
  </si>
  <si>
    <t>C5H9NO4</t>
  </si>
  <si>
    <t>Acetoacetyl-ACP</t>
  </si>
  <si>
    <t>C15H25N2O9PRS</t>
  </si>
  <si>
    <t>Acetyl phosphate</t>
  </si>
  <si>
    <t>C2H3O5P</t>
  </si>
  <si>
    <t>Adenine</t>
  </si>
  <si>
    <t>C5H5N5</t>
  </si>
  <si>
    <t>Adenosine</t>
  </si>
  <si>
    <t>C10H13N5O4</t>
  </si>
  <si>
    <t>ADP</t>
  </si>
  <si>
    <t>C10H12N5O10P2</t>
  </si>
  <si>
    <t>ADPglucose</t>
  </si>
  <si>
    <t>C16H23N5O15P2</t>
  </si>
  <si>
    <t>ADP-D-glycero-D-manno-heptose</t>
  </si>
  <si>
    <t>C17H25N5O16P2</t>
  </si>
  <si>
    <t>ADP-L-glycero-D-manno-heptose</t>
  </si>
  <si>
    <t>acyl-glycerophospoethanolamine  (E.coli) **</t>
  </si>
  <si>
    <t>C1093H2224O350N50P50</t>
  </si>
  <si>
    <t>acyl-glycerophosphoglycerol  (E.coli) **</t>
  </si>
  <si>
    <t>C1143H2224O450P50</t>
  </si>
  <si>
    <t>2-Amino-4-hydroxy-6-(erythro-1,2,3-trihydroxypropyl)dihydropteridine triphosphate</t>
  </si>
  <si>
    <t>C9H13N5O13P3</t>
  </si>
  <si>
    <t>5-Amino-1-(5-Phospho-D-ribosyl)imidazole-4-carboxamide</t>
  </si>
  <si>
    <t>C9H13N4O8P</t>
  </si>
  <si>
    <t>5-amino-1-(5-phospho-D-ribosyl)imidazole</t>
  </si>
  <si>
    <t>C8H12N3O7P</t>
  </si>
  <si>
    <t>2-Oxoglutarate</t>
  </si>
  <si>
    <t>C5H4O5</t>
  </si>
  <si>
    <t>D-Alanyl-D-alanine</t>
  </si>
  <si>
    <t>C6H12N2O3</t>
  </si>
  <si>
    <t>beta-Alanine</t>
  </si>
  <si>
    <t>C3H7NO2</t>
  </si>
  <si>
    <t>(S)-2-Acetolactate</t>
  </si>
  <si>
    <t>C5H7O4</t>
  </si>
  <si>
    <t>D-Alanine</t>
  </si>
  <si>
    <t>L-Alanine</t>
  </si>
  <si>
    <t>S-Adenosyl-L-methionine</t>
  </si>
  <si>
    <t>C15H23N6O5S</t>
  </si>
  <si>
    <t>S-Adenosylmethioninamine</t>
  </si>
  <si>
    <t>C14H24N6O3S</t>
  </si>
  <si>
    <t>AMP</t>
  </si>
  <si>
    <t>C10H12N5O7P</t>
  </si>
  <si>
    <t>Anthranilate</t>
  </si>
  <si>
    <t>acyl phosphatidylglycerol (E.coli) **</t>
  </si>
  <si>
    <t>C2829H5272O550P50</t>
  </si>
  <si>
    <t>Adenosine 5'-phosphosulfate</t>
  </si>
  <si>
    <t>C10H12N5O10PS</t>
  </si>
  <si>
    <t>D-Arabinose 5-phosphate</t>
  </si>
  <si>
    <t>C5H9O8P</t>
  </si>
  <si>
    <t>L-Arabinose</t>
  </si>
  <si>
    <t>C5H10O5</t>
  </si>
  <si>
    <t>L-Arginine</t>
  </si>
  <si>
    <t>C6H15N4O2</t>
  </si>
  <si>
    <t>N(omega)-(L-Arginino)succinate</t>
  </si>
  <si>
    <t>C10H17N4O6</t>
  </si>
  <si>
    <t>L-Asparagine</t>
  </si>
  <si>
    <t>C4H8N2O3</t>
  </si>
  <si>
    <t>L-Aspartate</t>
  </si>
  <si>
    <t>C4H6NO4</t>
  </si>
  <si>
    <t>L-Aspartate 4-semialdehyde</t>
  </si>
  <si>
    <t>ATP</t>
  </si>
  <si>
    <t>C10H12N5O13P3</t>
  </si>
  <si>
    <t>Betaine aldehyde</t>
  </si>
  <si>
    <t>C5H12NO</t>
  </si>
  <si>
    <t>Butyrate (n-C4:0)</t>
  </si>
  <si>
    <t>C4H7O2</t>
  </si>
  <si>
    <t>N-Carbamoyl-L-aspartate</t>
  </si>
  <si>
    <t>C5H6N2O5</t>
  </si>
  <si>
    <t>Carbamoyl phosphate</t>
  </si>
  <si>
    <t>CH2NO5P</t>
  </si>
  <si>
    <t>CDP</t>
  </si>
  <si>
    <t>C9H12N3O11P2</t>
  </si>
  <si>
    <t>CDPdiacylglycerol (E coli) **</t>
  </si>
  <si>
    <t>C2286H3998N150O750P100</t>
  </si>
  <si>
    <t>CDPethanolamine</t>
  </si>
  <si>
    <t>C11H19N4O11P2</t>
  </si>
  <si>
    <t>Choline</t>
  </si>
  <si>
    <t>C5H14NO</t>
  </si>
  <si>
    <t>Chorismate</t>
  </si>
  <si>
    <t>C10H8O6</t>
  </si>
  <si>
    <t>Citrate</t>
  </si>
  <si>
    <t>C6H5O7</t>
  </si>
  <si>
    <t>L-Citrulline</t>
  </si>
  <si>
    <t>C6H13N3O3</t>
  </si>
  <si>
    <t>CMP-3-deoxy-D-manno-octulosonate</t>
  </si>
  <si>
    <t>C17H24N3O15P</t>
  </si>
  <si>
    <t>Cardiolipin (Ecoli) **</t>
  </si>
  <si>
    <t>C3822H7096O850P100</t>
  </si>
  <si>
    <t>CMP</t>
  </si>
  <si>
    <t>C9H12N3O8P</t>
  </si>
  <si>
    <t>Coenzyme A</t>
  </si>
  <si>
    <t>C21H32N7O16P3S</t>
  </si>
  <si>
    <t>Cytosine</t>
  </si>
  <si>
    <t>C4H5N3O</t>
  </si>
  <si>
    <t>CTP</t>
  </si>
  <si>
    <t>C9H12N3O14P3</t>
  </si>
  <si>
    <t>Cyanate</t>
  </si>
  <si>
    <t>CNO</t>
  </si>
  <si>
    <t>L-Cysteine</t>
  </si>
  <si>
    <t>C3H7NO2S</t>
  </si>
  <si>
    <t>L-Cystathionine</t>
  </si>
  <si>
    <t>C7H14N2O4S</t>
  </si>
  <si>
    <t>Cytidine</t>
  </si>
  <si>
    <t>C9H13N3O5</t>
  </si>
  <si>
    <t>Deoxyadenosine</t>
  </si>
  <si>
    <t>C10H13N5O3</t>
  </si>
  <si>
    <t>dADP</t>
  </si>
  <si>
    <t>C10H12N5O9P2</t>
  </si>
  <si>
    <t>dAMP</t>
  </si>
  <si>
    <t>C10H12N5O6P</t>
  </si>
  <si>
    <t>dATP</t>
  </si>
  <si>
    <t>C10H12N5O12P3</t>
  </si>
  <si>
    <t>3,4-dihydroxy-2-butanone 4-phosphate</t>
  </si>
  <si>
    <t>C4H7O6P</t>
  </si>
  <si>
    <t>N6-(1,2-Dicarboxyethyl)-AMP</t>
  </si>
  <si>
    <t>C14H14N5O11P</t>
  </si>
  <si>
    <t>dCDP</t>
  </si>
  <si>
    <t>C9H12N3O10P2</t>
  </si>
  <si>
    <t>dCMP</t>
  </si>
  <si>
    <t>C9H12N3O7P</t>
  </si>
  <si>
    <t>dCTP</t>
  </si>
  <si>
    <t>C9H12N3O13P3</t>
  </si>
  <si>
    <t>Deoxycytidine</t>
  </si>
  <si>
    <t>C9H13N3O4</t>
  </si>
  <si>
    <t>Dodecanoyl-ACP (n-C12:0ACP)</t>
  </si>
  <si>
    <t>C23H43N2O8PRS</t>
  </si>
  <si>
    <t>dGDP</t>
  </si>
  <si>
    <t>dGMP</t>
  </si>
  <si>
    <t>Deoxyguanosine</t>
  </si>
  <si>
    <t>dGTP</t>
  </si>
  <si>
    <t>Dihydroxyacetone</t>
  </si>
  <si>
    <t>C3H6O3</t>
  </si>
  <si>
    <t>Dihydroxyacetone phosphate</t>
  </si>
  <si>
    <t>C3H5O6P</t>
  </si>
  <si>
    <t>7,8-Dihydrofolate</t>
  </si>
  <si>
    <t>C19H20N7O6</t>
  </si>
  <si>
    <t>2-Amino-4-hydroxy-6-(D-erythro-1,2,3-trihydroxypropyl)-7,8-dihydropteridine</t>
  </si>
  <si>
    <t>C9H14N5O4</t>
  </si>
  <si>
    <t>(S)-Dihydroorotate</t>
  </si>
  <si>
    <t>C5H5N2O4</t>
  </si>
  <si>
    <t>Dihydroneopterin monophosphate</t>
  </si>
  <si>
    <t>C9H13N5O7P</t>
  </si>
  <si>
    <t>Dihydropteroate</t>
  </si>
  <si>
    <t>C14H13N6O3</t>
  </si>
  <si>
    <t>Deoxyinosine</t>
  </si>
  <si>
    <t>C10H12N4O4</t>
  </si>
  <si>
    <t>2,3-diketo5-methylthio-1-phosphopentane</t>
  </si>
  <si>
    <t>C6H9O6PS</t>
  </si>
  <si>
    <t>6,7-Dimethyl-8-(1-D-ribityl)lumazine</t>
  </si>
  <si>
    <t>C13H18N4O6</t>
  </si>
  <si>
    <t>Dimethylallyl diphosphate</t>
  </si>
  <si>
    <t>C5H9O7P2</t>
  </si>
  <si>
    <t>Dimethyl sulfide</t>
  </si>
  <si>
    <t>C2H6S</t>
  </si>
  <si>
    <t>Dimethyl sulfoxide</t>
  </si>
  <si>
    <t>C2H6OS</t>
  </si>
  <si>
    <t>Deamino-NAD+</t>
  </si>
  <si>
    <t>C21H24N6O15P2</t>
  </si>
  <si>
    <t>Dephospho-CoA</t>
  </si>
  <si>
    <t>C21H33N7O13P2S</t>
  </si>
  <si>
    <t>dTDP</t>
  </si>
  <si>
    <t>C10H13N2O11P2</t>
  </si>
  <si>
    <t>dTMP</t>
  </si>
  <si>
    <t>C10H13N2O8P</t>
  </si>
  <si>
    <t>dTTP</t>
  </si>
  <si>
    <t>C10H13N2O14P3</t>
  </si>
  <si>
    <t>dUDP</t>
  </si>
  <si>
    <t>C9H11N2O11P2</t>
  </si>
  <si>
    <t>dUMP</t>
  </si>
  <si>
    <t>C9H11N2O8P</t>
  </si>
  <si>
    <t>Deoxyuridine</t>
  </si>
  <si>
    <t>C9H12N2O5</t>
  </si>
  <si>
    <t>dUTP</t>
  </si>
  <si>
    <t>C9H11N2O14P3</t>
  </si>
  <si>
    <t>D-Erythrose 4-phosphate</t>
  </si>
  <si>
    <t>C4H7O7P</t>
  </si>
  <si>
    <t>D-erythro-1-(Imidazol-4-yl)glycerol 3-phosphate</t>
  </si>
  <si>
    <t>C6H9N2O6P</t>
  </si>
  <si>
    <t>Ethanolamine</t>
  </si>
  <si>
    <t>C2H8NO</t>
  </si>
  <si>
    <t>Ethanol</t>
  </si>
  <si>
    <t>C2H6O</t>
  </si>
  <si>
    <t>D-Fructose 1-phosphate</t>
  </si>
  <si>
    <t>C6H11O9P</t>
  </si>
  <si>
    <t>D-Fructose 6-phosphate</t>
  </si>
  <si>
    <t>FAD</t>
  </si>
  <si>
    <t>C27H31N9O15P2</t>
  </si>
  <si>
    <t>FADH2</t>
  </si>
  <si>
    <t>C27H33N9O15P2</t>
  </si>
  <si>
    <t>D-Fructose 1,6-bisphosphate</t>
  </si>
  <si>
    <t>C6H10O12P2</t>
  </si>
  <si>
    <t>N2-Formyl-N1-(5-phospho-D-ribosyl)glycinamide</t>
  </si>
  <si>
    <t>C8H13N2O9P</t>
  </si>
  <si>
    <t>FMN</t>
  </si>
  <si>
    <t>C17H19N4O9P</t>
  </si>
  <si>
    <t>Formate</t>
  </si>
  <si>
    <t>CH1O2</t>
  </si>
  <si>
    <t>5-Formamido-1-(5-phospho-D-ribosyl)imidazole-4-carboxamide</t>
  </si>
  <si>
    <t>C10H13N4O9P</t>
  </si>
  <si>
    <t>D-Fructose</t>
  </si>
  <si>
    <t>C6H12O6</t>
  </si>
  <si>
    <t>L-Fucose 1-phosphate</t>
  </si>
  <si>
    <t>C6H11O8P</t>
  </si>
  <si>
    <t>Fumarate</t>
  </si>
  <si>
    <t>C4H2O4</t>
  </si>
  <si>
    <t>D-Glucose 1-phosphate</t>
  </si>
  <si>
    <t>Glyceraldehyde 3-phosphate</t>
  </si>
  <si>
    <t>sn-Glycero-3-phosphoethanolamine</t>
  </si>
  <si>
    <t>C5H14NO6P</t>
  </si>
  <si>
    <t>Glycerophosphoglycerol</t>
  </si>
  <si>
    <t>C6H14O8P</t>
  </si>
  <si>
    <t>D-Glucose 6-phosphate</t>
  </si>
  <si>
    <t>D-Galactose</t>
  </si>
  <si>
    <t>alpha-D-Galactose 1-phosphate</t>
  </si>
  <si>
    <t>D-Galactarate</t>
  </si>
  <si>
    <t>C6H8O8</t>
  </si>
  <si>
    <t>D-Galactonate</t>
  </si>
  <si>
    <t>C6H11O7</t>
  </si>
  <si>
    <t>D-Galacturonate</t>
  </si>
  <si>
    <t>D-Glucosamine (Extracellular)</t>
  </si>
  <si>
    <t>C6H14NO5</t>
  </si>
  <si>
    <t>D-Glucosamine 1-phosphate</t>
  </si>
  <si>
    <t>C6H13NO8P</t>
  </si>
  <si>
    <t>D-Glucosamine 6-phosphate</t>
  </si>
  <si>
    <t>N1-(5-Phospho-D-ribosyl)glycinamide</t>
  </si>
  <si>
    <t>C7H14N2O8P</t>
  </si>
  <si>
    <t>Glycolaldehyde</t>
  </si>
  <si>
    <t>C2H4O2</t>
  </si>
  <si>
    <t>GDP</t>
  </si>
  <si>
    <t>C10H12N5O11P2</t>
  </si>
  <si>
    <t>D-Glucose</t>
  </si>
  <si>
    <t>D-Gluconate</t>
  </si>
  <si>
    <t>D-Glucarate</t>
  </si>
  <si>
    <t>D-Glucuronate</t>
  </si>
  <si>
    <t>L-Glutamine</t>
  </si>
  <si>
    <t>C5H10N2O3</t>
  </si>
  <si>
    <t>L-Glutamate 5-phosphate</t>
  </si>
  <si>
    <t>C5H8NO7P</t>
  </si>
  <si>
    <t>L-Glutamate 5-semialdehyde</t>
  </si>
  <si>
    <t>C5H9NO3</t>
  </si>
  <si>
    <t>D-Glutamate</t>
  </si>
  <si>
    <t>C5H8NO4</t>
  </si>
  <si>
    <t>L-Glutamate</t>
  </si>
  <si>
    <t>Glyoxylate</t>
  </si>
  <si>
    <t>C2H1O3</t>
  </si>
  <si>
    <t>Glycine</t>
  </si>
  <si>
    <t>C2H5NO2</t>
  </si>
  <si>
    <t>Glycine betaine</t>
  </si>
  <si>
    <t>C5H11NO2</t>
  </si>
  <si>
    <t>Glycerol</t>
  </si>
  <si>
    <t>C3H8O3</t>
  </si>
  <si>
    <t>Glycerol 3-phosphate</t>
  </si>
  <si>
    <t>C3H7O6P</t>
  </si>
  <si>
    <t>Glycolate</t>
  </si>
  <si>
    <t>C2H3O3</t>
  </si>
  <si>
    <t>C6H10O5</t>
  </si>
  <si>
    <t>(R)-Glycerate</t>
  </si>
  <si>
    <t>C3H5O4</t>
  </si>
  <si>
    <t>D-Glycero-D-manno-heptose 1,7-bisphosphate</t>
  </si>
  <si>
    <t>C7H12O13P2</t>
  </si>
  <si>
    <t>D-Glycero-D-manno-heptose 1-phosphate</t>
  </si>
  <si>
    <t>C7H13O10P</t>
  </si>
  <si>
    <t>D-Glycero-D-manno-heptose 7-phosphate</t>
  </si>
  <si>
    <t>GMP</t>
  </si>
  <si>
    <t>C10H12N5O8P</t>
  </si>
  <si>
    <t>Guanosine</t>
  </si>
  <si>
    <t>C10H13N5O5</t>
  </si>
  <si>
    <t>Reduced glutathione</t>
  </si>
  <si>
    <t>C10H16N3O6S</t>
  </si>
  <si>
    <t>GTP</t>
  </si>
  <si>
    <t>C10H12N5O14P3</t>
  </si>
  <si>
    <t>Glutathionylspermidine</t>
  </si>
  <si>
    <t>C17H36N6O5S</t>
  </si>
  <si>
    <t>Guanine</t>
  </si>
  <si>
    <t>C5H5N5O</t>
  </si>
  <si>
    <t>H+</t>
  </si>
  <si>
    <t>H</t>
  </si>
  <si>
    <t>H2</t>
  </si>
  <si>
    <t>1-hydroxy-2-methyl-2-(E)-butenyl 4-diphosphate</t>
  </si>
  <si>
    <t>C5H9O8P2</t>
  </si>
  <si>
    <t>H2O</t>
  </si>
  <si>
    <t>Hydrogen peroxide</t>
  </si>
  <si>
    <t>H2O2</t>
  </si>
  <si>
    <t>Hydrogen sulfide</t>
  </si>
  <si>
    <t>H2S</t>
  </si>
  <si>
    <t>L-Homocysteine</t>
  </si>
  <si>
    <t>C4H9NO2S</t>
  </si>
  <si>
    <t>Hexadecanoate (n-C16:0)</t>
  </si>
  <si>
    <t>C16H31O2</t>
  </si>
  <si>
    <t>hexadecenoate (n-C16:1)</t>
  </si>
  <si>
    <t>C16H29O2</t>
  </si>
  <si>
    <t>Hexadecenoyl-ACP (n-C16:1ACP)</t>
  </si>
  <si>
    <t>C27H49N2O8PRS</t>
  </si>
  <si>
    <t>L-Histidine</t>
  </si>
  <si>
    <t>C6H9N3O2</t>
  </si>
  <si>
    <t>L-Histidinol phosphate</t>
  </si>
  <si>
    <t>C6H11N3O4P</t>
  </si>
  <si>
    <t>L-Histidinol</t>
  </si>
  <si>
    <t>C6H12N3O</t>
  </si>
  <si>
    <t>L-Homoserine</t>
  </si>
  <si>
    <t>C4H9NO3</t>
  </si>
  <si>
    <t>Hydroxypyruvate</t>
  </si>
  <si>
    <t>Hypoxanthine</t>
  </si>
  <si>
    <t>C5H4N4O</t>
  </si>
  <si>
    <t>Iminoaspartate</t>
  </si>
  <si>
    <t>C4H4NO4</t>
  </si>
  <si>
    <t>Isocitrate</t>
  </si>
  <si>
    <t>L-Idonate</t>
  </si>
  <si>
    <t>L-Isoleucine</t>
  </si>
  <si>
    <t>C6H13NO2</t>
  </si>
  <si>
    <t>3-(Imidazol-4-yl)-2-oxopropyl phosphate</t>
  </si>
  <si>
    <t>C6H7N2O5P</t>
  </si>
  <si>
    <t>IMP</t>
  </si>
  <si>
    <t>C10H11N4O8P</t>
  </si>
  <si>
    <t>Indole</t>
  </si>
  <si>
    <t>C8H7N</t>
  </si>
  <si>
    <t>Inosine</t>
  </si>
  <si>
    <t>C10H12N4O5</t>
  </si>
  <si>
    <t>Isopentenyl diphosphate</t>
  </si>
  <si>
    <t>K+</t>
  </si>
  <si>
    <t>K</t>
  </si>
  <si>
    <t>3-Deoxy-D-manno-2-octulosonate</t>
  </si>
  <si>
    <t>C8H13O8</t>
  </si>
  <si>
    <t>3-Deoxy-D-manno-octulosonate 8-phosphate</t>
  </si>
  <si>
    <t>C8H12O11P</t>
  </si>
  <si>
    <t>D-Lactate</t>
  </si>
  <si>
    <t>C3H5O3</t>
  </si>
  <si>
    <t>L-Lactate</t>
  </si>
  <si>
    <t>L-Leucine</t>
  </si>
  <si>
    <t>(R)-S-Lactoylglutathione</t>
  </si>
  <si>
    <t>C13H20N3O8S</t>
  </si>
  <si>
    <t>2,3-Bis(3-hydroxytetradecanoyl)-D-glucosaminyl-1,6-beta-D-2,3-bis(3-hydroxytetradecanoyl)-beta-D-glucosaminyl 1-phosphate</t>
  </si>
  <si>
    <t>C68H126N2O23P2</t>
  </si>
  <si>
    <t>Lipid A Disaccharide</t>
  </si>
  <si>
    <t>C68H127N2O20P</t>
  </si>
  <si>
    <t>2,3-Bis(3-hydroxytetradecanoyl)-beta-D-glucosaminyl 1-phosphate</t>
  </si>
  <si>
    <t>C34H64NO12P</t>
  </si>
  <si>
    <t>lipopolysaccharide (Ecoli)</t>
  </si>
  <si>
    <t>C171H297N4O88P2</t>
  </si>
  <si>
    <t>L-Lysine</t>
  </si>
  <si>
    <t>C6H15N2O2</t>
  </si>
  <si>
    <t>Malonyl-[acyl-carrier protein]</t>
  </si>
  <si>
    <t>C14H22N2O10PRS</t>
  </si>
  <si>
    <t>Malonyl-CoA</t>
  </si>
  <si>
    <t>C24H33N7O19P3S</t>
  </si>
  <si>
    <t>L-Malate</t>
  </si>
  <si>
    <t>C4H4O5</t>
  </si>
  <si>
    <t>Maltose</t>
  </si>
  <si>
    <t>C12H22O11</t>
  </si>
  <si>
    <t>Maltoheptaose</t>
  </si>
  <si>
    <t>C42H72O36</t>
  </si>
  <si>
    <t>Maltohexaose</t>
  </si>
  <si>
    <t>C36H62O31</t>
  </si>
  <si>
    <t>Maltopentaose</t>
  </si>
  <si>
    <t>C30H52O26</t>
  </si>
  <si>
    <t>Maltotriose</t>
  </si>
  <si>
    <t>C18H32O16</t>
  </si>
  <si>
    <t>Maltotetraose</t>
  </si>
  <si>
    <t>C24H42O21</t>
  </si>
  <si>
    <t>D-Mannose (Extracellular)</t>
  </si>
  <si>
    <t>D-Mannose 6-phosphate</t>
  </si>
  <si>
    <t>5,10-Methenyltetrahydrofolate</t>
  </si>
  <si>
    <t>C20H20N7O6</t>
  </si>
  <si>
    <t>L-Methionine</t>
  </si>
  <si>
    <t>C5H11NO2S</t>
  </si>
  <si>
    <t>methylisocitrate</t>
  </si>
  <si>
    <t>5,10-Methylenetetrahydrofolate</t>
  </si>
  <si>
    <t>C20H22N7O6</t>
  </si>
  <si>
    <t>(R)-Methylmalonyl-CoA</t>
  </si>
  <si>
    <t>C25H35N7O19P3S</t>
  </si>
  <si>
    <t>(S)-Methylmalonyl-CoA</t>
  </si>
  <si>
    <t>Menaquinol 8</t>
  </si>
  <si>
    <t>C51H74O2</t>
  </si>
  <si>
    <t>Menaquinone 8</t>
  </si>
  <si>
    <t>C51H72O2</t>
  </si>
  <si>
    <t>Methylglyoxal</t>
  </si>
  <si>
    <t>C3H4O2</t>
  </si>
  <si>
    <t>Myristoyl-ACP (n-C14:0ACP)</t>
  </si>
  <si>
    <t>C25H47N2O8PRS</t>
  </si>
  <si>
    <t>Sodium</t>
  </si>
  <si>
    <t>Na</t>
  </si>
  <si>
    <t>Nicotinate</t>
  </si>
  <si>
    <t>C6H4NO2</t>
  </si>
  <si>
    <t>Nicotinamide adenine dinucleotide</t>
  </si>
  <si>
    <t>C21H26N7O14P2</t>
  </si>
  <si>
    <t>Nicotinamide adenine dinucleotide - reduced</t>
  </si>
  <si>
    <t>C21H27N7O14P2</t>
  </si>
  <si>
    <t>Nicotinamide adenine dinucleotide phosphate</t>
  </si>
  <si>
    <t>C21H25N7O17P3</t>
  </si>
  <si>
    <t>Nicotinamide adenine dinucleotide phosphate - reduced</t>
  </si>
  <si>
    <t>C21H26N7O17P3</t>
  </si>
  <si>
    <t>Nicotinamide</t>
  </si>
  <si>
    <t>C6H6N2O</t>
  </si>
  <si>
    <t>ammonium</t>
  </si>
  <si>
    <t>H4N</t>
  </si>
  <si>
    <t>Nicotinate D-ribonucleotide</t>
  </si>
  <si>
    <t>C11H12NO9P</t>
  </si>
  <si>
    <t>NMN</t>
  </si>
  <si>
    <t>C11H14N2O8P</t>
  </si>
  <si>
    <t>Nitrite</t>
  </si>
  <si>
    <t>NO2</t>
  </si>
  <si>
    <t>Nitrate</t>
  </si>
  <si>
    <t>NO3</t>
  </si>
  <si>
    <t>O2</t>
  </si>
  <si>
    <t>Oxaloacetate</t>
  </si>
  <si>
    <t>C4H2O5</t>
  </si>
  <si>
    <t>octadecanoate (n-C18:0)</t>
  </si>
  <si>
    <t>C18H35O2</t>
  </si>
  <si>
    <t>octadecenoate (n-C18:1)</t>
  </si>
  <si>
    <t>C18H33O2</t>
  </si>
  <si>
    <t>Octadecenoyl-ACP (n-C18:1ACP)</t>
  </si>
  <si>
    <t>C29H53N2O8PRS</t>
  </si>
  <si>
    <t>Ornithine</t>
  </si>
  <si>
    <t>C5H13N2O2</t>
  </si>
  <si>
    <t>Orotate</t>
  </si>
  <si>
    <t>C5H3N2O4</t>
  </si>
  <si>
    <t>Orotidine 5'-phosphate</t>
  </si>
  <si>
    <t>C10H10N2O11P</t>
  </si>
  <si>
    <t>phosphatidate  (E.coli) **</t>
  </si>
  <si>
    <t>C1836H3398O400P50</t>
  </si>
  <si>
    <t>Palmitoyl-ACP (n-C16:0ACP)</t>
  </si>
  <si>
    <t>C27H51N2O8PRS</t>
  </si>
  <si>
    <t>Pantetheine 4'-phosphate</t>
  </si>
  <si>
    <t>C11H21N2O7PS</t>
  </si>
  <si>
    <t>(R)-Pantoate</t>
  </si>
  <si>
    <t>Adenosine 3',5'-bisphosphate</t>
  </si>
  <si>
    <t>C10H11N5O10P2</t>
  </si>
  <si>
    <t>3'-Phosphoadenylyl sulfate</t>
  </si>
  <si>
    <t>C10H11N5O13P2S</t>
  </si>
  <si>
    <t>Pyridoxine 5'-phosphate</t>
  </si>
  <si>
    <t>C8H10NO6P</t>
  </si>
  <si>
    <t>Phosphatidylethanolamine (Ecoli) **</t>
  </si>
  <si>
    <t>C1936H3748N50O400P50</t>
  </si>
  <si>
    <t>Phosphoenolpyruvate</t>
  </si>
  <si>
    <t>C3H2O6P</t>
  </si>
  <si>
    <t>Peptidoglycan subunit of Escherichia coli</t>
  </si>
  <si>
    <t>C40H62N8O21</t>
  </si>
  <si>
    <t>Phospatidylglycerol (Ecoli) **</t>
  </si>
  <si>
    <t>C1986H3748O500P50</t>
  </si>
  <si>
    <t>Phosphatidylglycerophosphate (Ecoli) **</t>
  </si>
  <si>
    <t>C1986H3698O650P100</t>
  </si>
  <si>
    <t>L-Phenylalanine</t>
  </si>
  <si>
    <t>C9H11NO2</t>
  </si>
  <si>
    <t>O-Phospho-L-homoserine</t>
  </si>
  <si>
    <t>C4H8NO6P</t>
  </si>
  <si>
    <t>Phenylpyruvate</t>
  </si>
  <si>
    <t>Phosphate</t>
  </si>
  <si>
    <t>HO4P</t>
  </si>
  <si>
    <t>(R)-Pantothenate</t>
  </si>
  <si>
    <t>C9H16NO5</t>
  </si>
  <si>
    <t>Propionate</t>
  </si>
  <si>
    <t>C3H5O2</t>
  </si>
  <si>
    <t>Propanoyl phosphate</t>
  </si>
  <si>
    <t>C3H5O5P</t>
  </si>
  <si>
    <t>Propanoyl-CoA</t>
  </si>
  <si>
    <t>C24H36N7O17P3S</t>
  </si>
  <si>
    <t>Prephenate</t>
  </si>
  <si>
    <t>Diphosphate</t>
  </si>
  <si>
    <t>HO7P2</t>
  </si>
  <si>
    <t>Phenylpropanoate</t>
  </si>
  <si>
    <t>C9H9O2</t>
  </si>
  <si>
    <t>5-Phospho-beta-D-ribosylamine</t>
  </si>
  <si>
    <t>C5H11NO7P</t>
  </si>
  <si>
    <t>N-(5-Phospho-D-ribosyl)anthranilate</t>
  </si>
  <si>
    <t>1-(5-Phosphoribosyl)-5-[(5-phosphoribosylamino)methylideneamino]imidazole-4-carboxamide</t>
  </si>
  <si>
    <t>C15H21N5O15P2</t>
  </si>
  <si>
    <t>5-[(5-phospho-1-deoxyribulos-1-ylamino)methylideneamino]-1-(5-phosphoribosyl)imidazole-4-carboxamide</t>
  </si>
  <si>
    <t>L-Proline</t>
  </si>
  <si>
    <t>C5H9NO2</t>
  </si>
  <si>
    <t>5-Phospho-alpha-D-ribose 1-diphosphate</t>
  </si>
  <si>
    <t>C5H8O14P3</t>
  </si>
  <si>
    <t>phosphatidylserine (Ecoli) **</t>
  </si>
  <si>
    <t>C1986H3698N50O500P50</t>
  </si>
  <si>
    <t>O-Phospho-L-serine</t>
  </si>
  <si>
    <t>C3H6NO6P</t>
  </si>
  <si>
    <t>Putrescine</t>
  </si>
  <si>
    <t>C4H14N2</t>
  </si>
  <si>
    <t>Pyridoxamine 5'-phosphate</t>
  </si>
  <si>
    <t>C8H12N2O5P</t>
  </si>
  <si>
    <t>Pyridoxamine</t>
  </si>
  <si>
    <t>C8H13N2O2</t>
  </si>
  <si>
    <t>Pyridoxal</t>
  </si>
  <si>
    <t>C8H9NO3</t>
  </si>
  <si>
    <t>Pyridoxal 5'-phosphate</t>
  </si>
  <si>
    <t>C8H8NO6P</t>
  </si>
  <si>
    <t>Pyridoxine</t>
  </si>
  <si>
    <t>C8H11NO3</t>
  </si>
  <si>
    <t>Pyruvate</t>
  </si>
  <si>
    <t>C3H3O3</t>
  </si>
  <si>
    <t>Ubiquinone-8</t>
  </si>
  <si>
    <t>C49H74O4</t>
  </si>
  <si>
    <t>Ubiquinol-8</t>
  </si>
  <si>
    <t>C49H76O4</t>
  </si>
  <si>
    <t>Quinolinate</t>
  </si>
  <si>
    <t>C7H3NO4</t>
  </si>
  <si>
    <t>alpha-D-Ribose 1-phosphate</t>
  </si>
  <si>
    <t>alpha-D-Ribose 5-phosphate</t>
  </si>
  <si>
    <t>Riboflavin</t>
  </si>
  <si>
    <t>C17H20N4O6</t>
  </si>
  <si>
    <t>D-Ribulose 5-phosphate</t>
  </si>
  <si>
    <t>Sedoheptulose 7-phosphate</t>
  </si>
  <si>
    <t>L-Serine</t>
  </si>
  <si>
    <t>C3H7NO3</t>
  </si>
  <si>
    <t>Shikimate</t>
  </si>
  <si>
    <t>C7H9O5</t>
  </si>
  <si>
    <t>Shikimate 5-phosphate</t>
  </si>
  <si>
    <t>C7H8O8P</t>
  </si>
  <si>
    <t>N-Succinyl-LL-2,6-diaminoheptanedioate</t>
  </si>
  <si>
    <t>C11H16N2O7</t>
  </si>
  <si>
    <t>N-Succinyl-2-L-amino-6-oxoheptanedioate</t>
  </si>
  <si>
    <t>C11H12NO8</t>
  </si>
  <si>
    <t>Sulfite</t>
  </si>
  <si>
    <t>O3S</t>
  </si>
  <si>
    <t>Sulfate</t>
  </si>
  <si>
    <t>O4S</t>
  </si>
  <si>
    <t>Spermidine</t>
  </si>
  <si>
    <t>C7H22N3</t>
  </si>
  <si>
    <t>N2-Succinyl-L-arginine</t>
  </si>
  <si>
    <t>C10H17N4O5</t>
  </si>
  <si>
    <t>Succinate</t>
  </si>
  <si>
    <t>C4H4O4</t>
  </si>
  <si>
    <t>Succinyl-CoA</t>
  </si>
  <si>
    <t>N2-Succinyl-L-glutamate</t>
  </si>
  <si>
    <t>C9H10NO7</t>
  </si>
  <si>
    <t>N2-Succinyl-L-glutamate 5-semialdehyde</t>
  </si>
  <si>
    <t>C9H11NO6</t>
  </si>
  <si>
    <t>O-Succinyl-L-homoserine</t>
  </si>
  <si>
    <t>C8H12NO6</t>
  </si>
  <si>
    <t>N2-Succinyl-L-ornithine</t>
  </si>
  <si>
    <t>C9H15N2O5</t>
  </si>
  <si>
    <t>Succinic semialdehyde</t>
  </si>
  <si>
    <t>Tetradecenoyl-ACP (n-C14:1ACP)</t>
  </si>
  <si>
    <t>C25H45N2O8PRS</t>
  </si>
  <si>
    <t>2,3,4,5-Tetrahydrodipicolinate</t>
  </si>
  <si>
    <t>C7H7NO4</t>
  </si>
  <si>
    <t>5,6,7,8-Tetrahydrofolate</t>
  </si>
  <si>
    <t>C19H22N7O6</t>
  </si>
  <si>
    <t>L-Threonine</t>
  </si>
  <si>
    <t>Thymidine</t>
  </si>
  <si>
    <t>C10H14N2O5</t>
  </si>
  <si>
    <t>Trimethylamine</t>
  </si>
  <si>
    <t>C3H10N</t>
  </si>
  <si>
    <t>Trimethylamine N-oxide</t>
  </si>
  <si>
    <t>C3H9NO</t>
  </si>
  <si>
    <t>Oxidized thioredoxin</t>
  </si>
  <si>
    <t>X</t>
  </si>
  <si>
    <t>Reduced thioredoxin</t>
  </si>
  <si>
    <t>XH2</t>
  </si>
  <si>
    <t>Trehalose</t>
  </si>
  <si>
    <t>alpha,alpha'-Trehalose 6-phosphate</t>
  </si>
  <si>
    <t>C12H21O14P</t>
  </si>
  <si>
    <t>L-Tryptophan</t>
  </si>
  <si>
    <t>C11H12N2O2</t>
  </si>
  <si>
    <t>tetradecanoate (n-C14:0)</t>
  </si>
  <si>
    <t>C14H27O2</t>
  </si>
  <si>
    <t>tetradecenoate (n-C14:1)</t>
  </si>
  <si>
    <t>C14H25O2</t>
  </si>
  <si>
    <t>L-Tyrosine</t>
  </si>
  <si>
    <t>C9H11NO3</t>
  </si>
  <si>
    <t>UDP-2,3-bis(3-hydroxytetradecanoyl)glucosamine</t>
  </si>
  <si>
    <t>C43H75N3O20P2</t>
  </si>
  <si>
    <t>UDP-3-O-(3-hydroxytetradecanoyl)-N-acetylglucosamine</t>
  </si>
  <si>
    <t>C31H51N3O19P2</t>
  </si>
  <si>
    <t>UDP-3-O-(3-hydroxytetradecanoyl)-D-glucosamine</t>
  </si>
  <si>
    <t>C29H50N3O18P2</t>
  </si>
  <si>
    <t>Undecaprenyl-diphospho-N-acetylmuramoyl-(N-acetylglucosamine)-L-ala-D-glu-meso-2,6-diaminopimeloyl-D-ala-D-ala</t>
  </si>
  <si>
    <t>C95H152N8O28P2</t>
  </si>
  <si>
    <t>UDP-N-acetyl-3-O-(1-carboxyvinyl)-D-glucosamine</t>
  </si>
  <si>
    <t>C20H26N3O19P2</t>
  </si>
  <si>
    <t>UDP-N-acetyl-D-glucosamine</t>
  </si>
  <si>
    <t>C17H25N3O17P2</t>
  </si>
  <si>
    <t>Undecaprenyl-diphospho-N-acetylmuramoyl-L-alanyl-D-glutamyl-meso-2,6-diaminopimeloyl-D-alanyl-D-alanine</t>
  </si>
  <si>
    <t>C87H139N7O23P2</t>
  </si>
  <si>
    <t>UDP-N-acetylmuramoyl-L-alanine</t>
  </si>
  <si>
    <t>C23H33N4O20P2</t>
  </si>
  <si>
    <t>UDP-N-acetylmuramoyl-L-alanyl-D-glutamate</t>
  </si>
  <si>
    <t>C28H39N5O23P2</t>
  </si>
  <si>
    <t>UDP-N-acetylmuramate</t>
  </si>
  <si>
    <t>C20H28N3O19P2</t>
  </si>
  <si>
    <t>Undecaprenyl diphosphate</t>
  </si>
  <si>
    <t>C55H89O7P2</t>
  </si>
  <si>
    <t>Undecaprenyl phosphate</t>
  </si>
  <si>
    <t>C55H89O4P</t>
  </si>
  <si>
    <t>UDP</t>
  </si>
  <si>
    <t>C9H11N2O12P2</t>
  </si>
  <si>
    <t>UDPglucose</t>
  </si>
  <si>
    <t>C15H22N2O17P2</t>
  </si>
  <si>
    <t>UDPgalactose</t>
  </si>
  <si>
    <t>UDP-N-acetylmuramoyl-L-alanyl-D-gamma-glutamyl-meso-2,6-diaminopimelate</t>
  </si>
  <si>
    <t>C35H51N7O26P2</t>
  </si>
  <si>
    <t>UDP-N-acetylmuramoyl-L-alanyl-D-glutamyl-meso-2,6-diaminopimeloyl-D-alanyl-D-alanine</t>
  </si>
  <si>
    <t>C41H61N9O28P2</t>
  </si>
  <si>
    <t>UMP</t>
  </si>
  <si>
    <t>C9H11N2O9P</t>
  </si>
  <si>
    <t>Uracil</t>
  </si>
  <si>
    <t>C4H4N2O2</t>
  </si>
  <si>
    <t>Uridine</t>
  </si>
  <si>
    <t>C9H12N2O6</t>
  </si>
  <si>
    <t>UTP</t>
  </si>
  <si>
    <t>C9H11N2O15P3</t>
  </si>
  <si>
    <t>L-Valine</t>
  </si>
  <si>
    <t>Xanthine</t>
  </si>
  <si>
    <t>C5H4N4O2</t>
  </si>
  <si>
    <t>Xanthosine 5'-phosphate</t>
  </si>
  <si>
    <t>C10H11N4O9P</t>
  </si>
  <si>
    <t>Xanthosine</t>
  </si>
  <si>
    <t>C10H12N4O6</t>
  </si>
  <si>
    <t>D-Xylulose 5-phosphate</t>
  </si>
  <si>
    <t>D-Xylose</t>
  </si>
  <si>
    <t>D-Xylulose</t>
  </si>
  <si>
    <t>(S)-Propane-1,2-diol</t>
  </si>
  <si>
    <t>C3H8O2</t>
  </si>
  <si>
    <t>2,3-Dihydro-2,3-dihydroxybenzoate</t>
  </si>
  <si>
    <t>C7H7O4</t>
  </si>
  <si>
    <t>2,3-Dihydroxybenzoate</t>
  </si>
  <si>
    <t>C7H5O4</t>
  </si>
  <si>
    <t>(2,3-Dihydroxybenzoyl)adenylate</t>
  </si>
  <si>
    <t>C17H16N5O10P</t>
  </si>
  <si>
    <t>2,3-Dioxo-L-gulonate</t>
  </si>
  <si>
    <t>2-Dehydro-3-deoxy-D-galactonate</t>
  </si>
  <si>
    <t>2-Dehydro-3-deoxy-D-galactonate 6-phosphate</t>
  </si>
  <si>
    <t>2-Methyl-4-amino-5-hydroxymethylpyrimidine diphosphate</t>
  </si>
  <si>
    <t>C6H8N3O7P2</t>
  </si>
  <si>
    <t>2-C-methyl-D-erythritol 4-phosphate</t>
  </si>
  <si>
    <t>C5H11O7P</t>
  </si>
  <si>
    <t>2-C-methyl-D-erythritol 2,4-cyclodiphosphate</t>
  </si>
  <si>
    <t>C5H10O9P2</t>
  </si>
  <si>
    <t>2-Octaprenyl-6-hydroxyphenol</t>
  </si>
  <si>
    <t>C46H70O2</t>
  </si>
  <si>
    <t>2-Octaprenyl-6-methoxy-1,4-benzoquinol</t>
  </si>
  <si>
    <t>C47H72O3</t>
  </si>
  <si>
    <t>2-Octaprenyl-3-methyl-5-hydroxy-6-methoxy-1,4-benzoquinol</t>
  </si>
  <si>
    <t>C48H74O4</t>
  </si>
  <si>
    <t>2-Octaprenyl3-methyl-6-methoxy- 1,4-benzoquinol</t>
  </si>
  <si>
    <t>C48H74O3</t>
  </si>
  <si>
    <t>2-Octaprenyl-6-methoxyphenol</t>
  </si>
  <si>
    <t>C47H72O2</t>
  </si>
  <si>
    <t>2-Octaprenylphenol</t>
  </si>
  <si>
    <t>C46H70O</t>
  </si>
  <si>
    <t>2-phospho-4-(cytidine 5'-diphospho)-2-C-methyl-D-erythritol</t>
  </si>
  <si>
    <t>C14H22N3O17P3</t>
  </si>
  <si>
    <t>2-Phosphoglycolate</t>
  </si>
  <si>
    <t>C2H2O6P</t>
  </si>
  <si>
    <t>2-Succinyl-6-hydroxy-2,4-cyclohexadiene-1-carboxylate</t>
  </si>
  <si>
    <t>C11H10O6</t>
  </si>
  <si>
    <t>3-Dehydro-L-gulonate</t>
  </si>
  <si>
    <t>3-keto-L-gulonate-6-phosphate</t>
  </si>
  <si>
    <t>C6H8O10P</t>
  </si>
  <si>
    <t>3-Octaprenyl-4-hydroxybenzoate</t>
  </si>
  <si>
    <t>C47H69O3</t>
  </si>
  <si>
    <t>4-Amino-5-hydroxymethyl-2-methylpyrimidine</t>
  </si>
  <si>
    <t>C6H9N3O</t>
  </si>
  <si>
    <t>4-Amino-2-methyl-5-phosphomethylpyrimidine</t>
  </si>
  <si>
    <t>C6H8N3O4P</t>
  </si>
  <si>
    <t>4-(cytidine 5'-diphospho)-2-C-methyl-D-erythritol</t>
  </si>
  <si>
    <t>C14H23N3O14P2</t>
  </si>
  <si>
    <t>4-Hydroxy-2-oxopentanoate</t>
  </si>
  <si>
    <t>4-Hydroxy-benzyl alcohol</t>
  </si>
  <si>
    <t>C7H8O2</t>
  </si>
  <si>
    <t>4-Hydroxybenzoate</t>
  </si>
  <si>
    <t>C7H5O3</t>
  </si>
  <si>
    <t>4-Hydroxy-L-threonine</t>
  </si>
  <si>
    <t>C4H9NO4</t>
  </si>
  <si>
    <t>4-Methyl-5-(2-hydroxyethyl)-thiazole</t>
  </si>
  <si>
    <t>C6H9NOS</t>
  </si>
  <si>
    <t>4-Methyl-5-(2-phosphoethyl)-thiazole</t>
  </si>
  <si>
    <t>C6H8NO4PS</t>
  </si>
  <si>
    <t>4-Phospho-D-erythronate</t>
  </si>
  <si>
    <t>C4H6O8P</t>
  </si>
  <si>
    <t>5-Amino-4-oxopentanoate</t>
  </si>
  <si>
    <t>5-Dehydro-4-deoxy-D-glucarate</t>
  </si>
  <si>
    <t>C6H6O7</t>
  </si>
  <si>
    <t>N1-(5-Phospho-alpha-D-ribosyl)-5,6-dimethylbenzimidazole</t>
  </si>
  <si>
    <t>C14H17N2O7P</t>
  </si>
  <si>
    <t>8-Amino-7-oxononanoate</t>
  </si>
  <si>
    <t>C9H17NO3</t>
  </si>
  <si>
    <t>Aminoacetaldehyde</t>
  </si>
  <si>
    <t>C2H6NO</t>
  </si>
  <si>
    <t>Acetoacetyl-CoA</t>
  </si>
  <si>
    <t>C25H36N7O18P3S</t>
  </si>
  <si>
    <t>N-Acetyl-D-glucosamine (Extracellular)</t>
  </si>
  <si>
    <t>C8H15NO6</t>
  </si>
  <si>
    <t>N-Acetyl-D-glucosamine 6-phosphate</t>
  </si>
  <si>
    <t>N-Acetyl-D-mannosamine</t>
  </si>
  <si>
    <t>N-Acetyl-D-mannosamine 6-phosphate</t>
  </si>
  <si>
    <t>E-3-carboxy-2-pentenedioate 6-methyl ester</t>
  </si>
  <si>
    <t>C7H6O6</t>
  </si>
  <si>
    <t>trans-Aconitate</t>
  </si>
  <si>
    <t>C6H3O6</t>
  </si>
  <si>
    <t>Adenosyl cobinamide</t>
  </si>
  <si>
    <t>C58H85CoN16O11</t>
  </si>
  <si>
    <t>Adenosyl cobinamide phosphate</t>
  </si>
  <si>
    <t>C58H84CoN16O14P</t>
  </si>
  <si>
    <t>Adenosylcobalamin</t>
  </si>
  <si>
    <t>C72H101CoN18O17P</t>
  </si>
  <si>
    <t>Adenosine-GDP-cobinamide</t>
  </si>
  <si>
    <t>C68H96CoN21O21P2</t>
  </si>
  <si>
    <t>Agmatine</t>
  </si>
  <si>
    <t>C5H16N4</t>
  </si>
  <si>
    <t>acyl-glycerophosphocholine (E.coli) **</t>
  </si>
  <si>
    <t>C1243H2524N50O350P50</t>
  </si>
  <si>
    <t>S-Adenosyl-L-homocysteine</t>
  </si>
  <si>
    <t>C14H20N6O5S</t>
  </si>
  <si>
    <t>Allantoin</t>
  </si>
  <si>
    <t>C4H6N4O3</t>
  </si>
  <si>
    <t>Allantoate</t>
  </si>
  <si>
    <t>C4H7N4O4</t>
  </si>
  <si>
    <t>D-Altronate</t>
  </si>
  <si>
    <t>S-Adenosyl-4-methylthio-2-oxobutanoate</t>
  </si>
  <si>
    <t>C15H19N5O6S</t>
  </si>
  <si>
    <t>P1,P4-Bis(5'-adenosyl) tetraphosphate</t>
  </si>
  <si>
    <t>C20H24N10O19P4</t>
  </si>
  <si>
    <t>P1,P5-Bis(5'-adenosyl) pentaphosphate</t>
  </si>
  <si>
    <t>C20H24N10O22P5</t>
  </si>
  <si>
    <t>apoprotein [acyl carrier protein]</t>
  </si>
  <si>
    <t>RHO</t>
  </si>
  <si>
    <t>Arbutin 6-phosphate</t>
  </si>
  <si>
    <t>C12H15O10P</t>
  </si>
  <si>
    <t>gamma-butyrobetainyl-CoA</t>
  </si>
  <si>
    <t>C28H46N8O17P3S</t>
  </si>
  <si>
    <t>Butanoyl-CoA</t>
  </si>
  <si>
    <t>C25H38N7O17P3S</t>
  </si>
  <si>
    <t>Biotin</t>
  </si>
  <si>
    <t>C10H15N2O3S</t>
  </si>
  <si>
    <t>d-biotin d-sulfoxide</t>
  </si>
  <si>
    <t>C10H15N2O4S</t>
  </si>
  <si>
    <t>cAMP</t>
  </si>
  <si>
    <t>C10H11N5O6P</t>
  </si>
  <si>
    <t>Cobinamide</t>
  </si>
  <si>
    <t>C48H73CoN11O8</t>
  </si>
  <si>
    <t>Cob(I)alamin</t>
  </si>
  <si>
    <t>C62H89CoN13O14P</t>
  </si>
  <si>
    <t>cis-3-(3-carboxyethyl)-3,5-cyclohexadiene-1,2-diol</t>
  </si>
  <si>
    <t>C9H11O4</t>
  </si>
  <si>
    <t>cis-3-(3-carboxyethenyl)-3,5-cyclohexadiene-1,2-diol</t>
  </si>
  <si>
    <t>C9H9O4</t>
  </si>
  <si>
    <t>trans-Cinnamate</t>
  </si>
  <si>
    <t>C9H7O2</t>
  </si>
  <si>
    <t>Coproporphyrinogen III</t>
  </si>
  <si>
    <t>C36H40N4O8</t>
  </si>
  <si>
    <t>L-Carnitine</t>
  </si>
  <si>
    <t>C7H15NO3</t>
  </si>
  <si>
    <t>Carnitinyl-CoA</t>
  </si>
  <si>
    <t>C28H46N8O18P3S</t>
  </si>
  <si>
    <t>crotonobetaine</t>
  </si>
  <si>
    <t>C7H13NO2</t>
  </si>
  <si>
    <t>crotonobetainyl-CoA</t>
  </si>
  <si>
    <t>C28H44N8O17P3S</t>
  </si>
  <si>
    <t>Cyanide</t>
  </si>
  <si>
    <t>CHN</t>
  </si>
  <si>
    <t>7,8-Diaminononanoate</t>
  </si>
  <si>
    <t>C9H21N2O2</t>
  </si>
  <si>
    <t>2,3-dihydroxicinnamic acid</t>
  </si>
  <si>
    <t>1,4-Dihydroxy-2-naphthoate</t>
  </si>
  <si>
    <t>C11H7O4</t>
  </si>
  <si>
    <t>3-(2,3-Dihydroxyphenyl)propanoate</t>
  </si>
  <si>
    <t>4,5-dihydroxy-2,3-pentanedione</t>
  </si>
  <si>
    <t>C5H8O4</t>
  </si>
  <si>
    <t>5,6-Dimethylbenzimidazole</t>
  </si>
  <si>
    <t>C9H10N2</t>
  </si>
  <si>
    <t>Dethiobiotin</t>
  </si>
  <si>
    <t>C10H17N2O3</t>
  </si>
  <si>
    <t>dTDP-4-acetamido-4,6-dideoxy-D-galactose</t>
  </si>
  <si>
    <t>C18H27N3O15P2</t>
  </si>
  <si>
    <t>dTDP-4-amino-4,6-dideoxy-D-glucose</t>
  </si>
  <si>
    <t>C16H26N3O14P2</t>
  </si>
  <si>
    <t>dTDP-4-dehydro-6-deoxy-D-glucose</t>
  </si>
  <si>
    <t>C16H22N2O15P2</t>
  </si>
  <si>
    <t>dTDP-4-dehydro-6-deoxy-L-mannose</t>
  </si>
  <si>
    <t>dTDPglucose</t>
  </si>
  <si>
    <t>C16H24N2O16P2</t>
  </si>
  <si>
    <t>dTDP-L-rhamnose</t>
  </si>
  <si>
    <t>C16H24N2O15P2</t>
  </si>
  <si>
    <t>1-deoxy-D-xylulose</t>
  </si>
  <si>
    <t>C5H10O4</t>
  </si>
  <si>
    <t>1-deoxy-D-xylulose 5-phosphate</t>
  </si>
  <si>
    <t>Enterobacterial common antigen polysaccharide (Ecoli)</t>
  </si>
  <si>
    <t>C24H36N3O15</t>
  </si>
  <si>
    <t>Enterochelin</t>
  </si>
  <si>
    <t>C30H27N3O15</t>
  </si>
  <si>
    <t>L-Fuculose 1-phosphate</t>
  </si>
  <si>
    <t>L-fuculose</t>
  </si>
  <si>
    <t>C6H12O5</t>
  </si>
  <si>
    <t>Fe2+</t>
  </si>
  <si>
    <t>Fe</t>
  </si>
  <si>
    <t>2-(Formamido)-N1-(5-phospho-D-ribosyl)acetamidine</t>
  </si>
  <si>
    <t>C8H15N3O8P</t>
  </si>
  <si>
    <t>Farnesyl diphosphate</t>
  </si>
  <si>
    <t>C15H25O7P2</t>
  </si>
  <si>
    <t>D-Fructuronate</t>
  </si>
  <si>
    <t>L-Fucose</t>
  </si>
  <si>
    <t>sn-Glycero-3-phosphocholine</t>
  </si>
  <si>
    <t>C8H20NO6P</t>
  </si>
  <si>
    <t>sn-Glycero-3-phospho-1-inositol</t>
  </si>
  <si>
    <t>C9H18O11P</t>
  </si>
  <si>
    <t>Glycerophosphoserine</t>
  </si>
  <si>
    <t>Galactitol (Extracellular)</t>
  </si>
  <si>
    <t>C6H14O6</t>
  </si>
  <si>
    <t>Galactitol 1-phosphate</t>
  </si>
  <si>
    <t>C6H13O9P</t>
  </si>
  <si>
    <t>gamma-butyrobetaine</t>
  </si>
  <si>
    <t>C7H15NO2</t>
  </si>
  <si>
    <t>GDP-4-dehydro-6-deoxy-D-mannose</t>
  </si>
  <si>
    <t>C16H21N5O15P2</t>
  </si>
  <si>
    <t>GDP-L-fucose</t>
  </si>
  <si>
    <t>GDP-D-mannose</t>
  </si>
  <si>
    <t>C16H23N5O16P2</t>
  </si>
  <si>
    <t>GDP-4-oxo-L-fucose</t>
  </si>
  <si>
    <t>L-Glutamate 1-semialdehyde</t>
  </si>
  <si>
    <t>gamma-L-Glutamyl-L-cysteine</t>
  </si>
  <si>
    <t>C8H13N2O5S</t>
  </si>
  <si>
    <t>L-Glutamyl-tRNA(Glu)</t>
  </si>
  <si>
    <t>C5H7NO3R</t>
  </si>
  <si>
    <t>D-Glyceraldehyde</t>
  </si>
  <si>
    <t>P1,P4-Bis(5'-guanosyl) tetraphosphate</t>
  </si>
  <si>
    <t>C20H24N10O21P4</t>
  </si>
  <si>
    <t>Geranyl diphosphate</t>
  </si>
  <si>
    <t>C10H17O7P2</t>
  </si>
  <si>
    <t>Oxidized glutathione</t>
  </si>
  <si>
    <t>C20H30N6O12S2</t>
  </si>
  <si>
    <t>Heme O</t>
  </si>
  <si>
    <t>C49H56FeN4O5</t>
  </si>
  <si>
    <t>2-Hydroxy-6-oxonona-2,4-diene-1,9-dioate</t>
  </si>
  <si>
    <t>C9H9O6</t>
  </si>
  <si>
    <t>2-hydroxy-6-ketononatrienedioate</t>
  </si>
  <si>
    <t>C9H7O6</t>
  </si>
  <si>
    <t>Hydroxymethylbilane</t>
  </si>
  <si>
    <t>C40H38N4O17</t>
  </si>
  <si>
    <t>4-hydroxy-5-methyl-3(2H)-furanone</t>
  </si>
  <si>
    <t>C5H6O3</t>
  </si>
  <si>
    <t>Hydroquinone</t>
  </si>
  <si>
    <t>C6H6O2</t>
  </si>
  <si>
    <t>Isochorismate</t>
  </si>
  <si>
    <t>IDP</t>
  </si>
  <si>
    <t>C10H11N4O11P2</t>
  </si>
  <si>
    <t>myo-Inositol</t>
  </si>
  <si>
    <t>ITP</t>
  </si>
  <si>
    <t>C10H11N4O14P3</t>
  </si>
  <si>
    <t>KDO(2)-lipid IV(A)</t>
  </si>
  <si>
    <t>C84H148N2O37P2</t>
  </si>
  <si>
    <t>KDO(2)-lipid IV(A) with laurate</t>
  </si>
  <si>
    <t>C96H170N2O38P2</t>
  </si>
  <si>
    <t>KDO(2)-lipid IV(A) with palmitoleoyl</t>
  </si>
  <si>
    <t>C100H176N2O38P2</t>
  </si>
  <si>
    <t>KDO-lipid IV(A)</t>
  </si>
  <si>
    <t>C76H137N2O30P2</t>
  </si>
  <si>
    <t>L-Lactaldehyde</t>
  </si>
  <si>
    <t>C3H6O2</t>
  </si>
  <si>
    <t>Lactose</t>
  </si>
  <si>
    <t>KDO(2)-lipid (A)</t>
  </si>
  <si>
    <t>C110H196N2O39P2</t>
  </si>
  <si>
    <t>cold adapted KDO(2)-lipid (A)</t>
  </si>
  <si>
    <t>C114H202N2O39P2</t>
  </si>
  <si>
    <t>Maltose 6'-phosphate</t>
  </si>
  <si>
    <t>D-Mannose 1-phosphate</t>
  </si>
  <si>
    <t>D-Mannonate</t>
  </si>
  <si>
    <t>Melibiose</t>
  </si>
  <si>
    <t>D-Methionine</t>
  </si>
  <si>
    <t>C5H10NO2S</t>
  </si>
  <si>
    <t>1D-myo-Inositol 1-phosphate</t>
  </si>
  <si>
    <t>D-Mannitol (Extracellular)</t>
  </si>
  <si>
    <t>D-Mannitol 1-phosphate</t>
  </si>
  <si>
    <t>N1-Acetylspermidine</t>
  </si>
  <si>
    <t>C9H23N3O</t>
  </si>
  <si>
    <t>N8-Acetylspermidine</t>
  </si>
  <si>
    <t>o2s</t>
  </si>
  <si>
    <t>Superoxide anion</t>
  </si>
  <si>
    <t>all-trans-Octaprenyl diphosphate</t>
  </si>
  <si>
    <t>C40H65O7P2</t>
  </si>
  <si>
    <t>2-Oxo-3-hydroxy-4-phosphobutanoate</t>
  </si>
  <si>
    <t>C4H4O8P</t>
  </si>
  <si>
    <t>2-Oxopent-4-enoate</t>
  </si>
  <si>
    <t>C5H5O3</t>
  </si>
  <si>
    <t>Phenylacetic acid</t>
  </si>
  <si>
    <t>C8H7O2</t>
  </si>
  <si>
    <t>Phenylacetaldehyde</t>
  </si>
  <si>
    <t>C8H8O</t>
  </si>
  <si>
    <t>Phosphatidylcholine (E.coli) **</t>
  </si>
  <si>
    <t>C2086H4048N50O400P50</t>
  </si>
  <si>
    <t>Phenethylamine</t>
  </si>
  <si>
    <t>C8H12N</t>
  </si>
  <si>
    <t>Phenylacetyl-CoA</t>
  </si>
  <si>
    <t>C29H38N7O17P3S</t>
  </si>
  <si>
    <t>Protoheme</t>
  </si>
  <si>
    <t>C34H30FeN4O4</t>
  </si>
  <si>
    <t>O-Phospho-4-hydroxy-L-threonine</t>
  </si>
  <si>
    <t>C4H8NO7P</t>
  </si>
  <si>
    <t>Pimeloyl-CoA</t>
  </si>
  <si>
    <t>C28H41N7O19P3S</t>
  </si>
  <si>
    <t>Porphobilinogen</t>
  </si>
  <si>
    <t>C10H13N2O4</t>
  </si>
  <si>
    <t>Protoporphyrin</t>
  </si>
  <si>
    <t>C34H32N4O4</t>
  </si>
  <si>
    <t>Protoporphyrinogen IX</t>
  </si>
  <si>
    <t>C34H38N4O4</t>
  </si>
  <si>
    <t>Inorganic triphosphate</t>
  </si>
  <si>
    <t>HO10P3</t>
  </si>
  <si>
    <t>1-(5-Phosphoribosyl)-AMP</t>
  </si>
  <si>
    <t>C15H19N5O14P2</t>
  </si>
  <si>
    <t>1-(5-Phosphoribosyl)-ATP</t>
  </si>
  <si>
    <t>C15H19N5O20P4</t>
  </si>
  <si>
    <t>L-Ribulose</t>
  </si>
  <si>
    <t>N1-(alpha-D-ribosyl)-5,6-dimethylbenzimidazole</t>
  </si>
  <si>
    <t>C14H18N2O4</t>
  </si>
  <si>
    <t>S-Ribosyl-L-homocysteine</t>
  </si>
  <si>
    <t>C9H17NO6S</t>
  </si>
  <si>
    <t>D-Ribose</t>
  </si>
  <si>
    <t>L-Rhamnulose</t>
  </si>
  <si>
    <t>L-Rhamnulose 1-phosphate</t>
  </si>
  <si>
    <t>L-Rhamnose</t>
  </si>
  <si>
    <t>L-Ribulose 5-phosphate</t>
  </si>
  <si>
    <t>D-Sorbitol 6-phosphate</t>
  </si>
  <si>
    <t>D-Sorbitol (Extracellular)</t>
  </si>
  <si>
    <t>O-Succinylbenzoyl-CoA</t>
  </si>
  <si>
    <t>C32H39N7O20P3S</t>
  </si>
  <si>
    <t>Sirohydrochlorin</t>
  </si>
  <si>
    <t>C42H41N4O16</t>
  </si>
  <si>
    <t>Selenide</t>
  </si>
  <si>
    <t>HSe</t>
  </si>
  <si>
    <t>Selenophosphate</t>
  </si>
  <si>
    <t>H2O3PSe</t>
  </si>
  <si>
    <t>L-seryl-AMP</t>
  </si>
  <si>
    <t>C13H19N6O9P</t>
  </si>
  <si>
    <t>D-Serine</t>
  </si>
  <si>
    <t>Siroheme</t>
  </si>
  <si>
    <t>C42H36FeN4O16</t>
  </si>
  <si>
    <t>Sirochlorin</t>
  </si>
  <si>
    <t>C42H39N4O16</t>
  </si>
  <si>
    <t>Succinate semialdehyde-thiamin diphosphate anion</t>
  </si>
  <si>
    <t>C16H21N4O10P2S</t>
  </si>
  <si>
    <t>Sucrose 6-phosphate</t>
  </si>
  <si>
    <t>o-Succinylbenzoate</t>
  </si>
  <si>
    <t>C11H8O5</t>
  </si>
  <si>
    <t>Sucrose (Extracellular)</t>
  </si>
  <si>
    <t>D-Tagatose 6-phosphate</t>
  </si>
  <si>
    <t>D-Tagatose 1,6-biphosphate</t>
  </si>
  <si>
    <t>D-Tagaturonate</t>
  </si>
  <si>
    <t>L-tartrate</t>
  </si>
  <si>
    <t>C4H4O6</t>
  </si>
  <si>
    <t>Taurine</t>
  </si>
  <si>
    <t>C2H7NO3S</t>
  </si>
  <si>
    <t>Thiocyanate</t>
  </si>
  <si>
    <t>CNS</t>
  </si>
  <si>
    <t>Thiamin</t>
  </si>
  <si>
    <t>C12H17N4OS</t>
  </si>
  <si>
    <t>Thiamin monophosphate</t>
  </si>
  <si>
    <t>C12H16N4O4PS</t>
  </si>
  <si>
    <t>Thiamine diphosphate</t>
  </si>
  <si>
    <t>C12H16N4O7P2S</t>
  </si>
  <si>
    <t>Thymine</t>
  </si>
  <si>
    <t>C5H6N2O2</t>
  </si>
  <si>
    <t>tRNA (Glu)</t>
  </si>
  <si>
    <t>R</t>
  </si>
  <si>
    <t>Thiosulfate</t>
  </si>
  <si>
    <t>O3S2</t>
  </si>
  <si>
    <t>UDP-N-acetyl-D-mannosamine</t>
  </si>
  <si>
    <t>UDP-N-acetyl-D-mannosaminouronate</t>
  </si>
  <si>
    <t>C17H22N3O18P2</t>
  </si>
  <si>
    <t>UDP-D-galacto-1,4-furanose</t>
  </si>
  <si>
    <t>UDP-D-glucuronate</t>
  </si>
  <si>
    <t>C15H19N2O18P2</t>
  </si>
  <si>
    <t>Undecaprenyl diphospho N-acetyl-glucosamine</t>
  </si>
  <si>
    <t>C63H103NO12P2</t>
  </si>
  <si>
    <t>Undecaprenyl-diphospho-N-acetylglucosamine-N-acetylmannosaminuronate</t>
  </si>
  <si>
    <t>C71H113N2O18P2</t>
  </si>
  <si>
    <t>Undecaprenyl-diphospho N-acetylglucosamine-N-acetylmannosaminuronate-N-acetamido-4,6-dideoxy-D-galactose</t>
  </si>
  <si>
    <t>C79H126N3O22P2</t>
  </si>
  <si>
    <t>Uroporphyrinogen III</t>
  </si>
  <si>
    <t>C40H36N4O16</t>
  </si>
  <si>
    <t>(-)-Ureidoglycolate</t>
  </si>
  <si>
    <t>C3H5N2O4</t>
  </si>
  <si>
    <t>Urea</t>
  </si>
  <si>
    <t>CH4N2O</t>
  </si>
  <si>
    <t>L-Xylulose 5-phosphate</t>
  </si>
  <si>
    <t>Cex</t>
  </si>
  <si>
    <t>chargetransport</t>
  </si>
  <si>
    <t>type</t>
  </si>
  <si>
    <t>reed name</t>
  </si>
  <si>
    <t>charge{1}[c] &lt;=&gt; charge{1}[e]</t>
  </si>
  <si>
    <t xml:space="preserve">(2) o2s[c]  &lt;=&gt; h2o2[c] + o2[c] </t>
  </si>
  <si>
    <t>(0.05) 5mthf[c] + (0.00005) accoa[c] + (0.488) ala-L[c] + (0.0010) amp[c] + (0.281) arg-L[c] + (0.229) asn-L[c] + (0.229) asp-L[c] + (22.873) atp[c] + (0.000129) clpnEC[c] + (0.000006) coa[c] + (0.126) ctp[c] + (0.087) cys-L[c] + (0.0247) datp[c] + (0.0254) dctp[c] + (0.0254) dgtp[c] + (0.0247) dttp[c] + (0.00001) fad[c] + (0.25) gln-L[c] + (0.25) glu-L[c] + (0.582) gly[c] + (0.154) glycogen[c] + (0.203) gtp[c] + (22.6878) h2o[c] + (0.09) his-L[c] + (0.276) ile-L[c] + (0.428) leu-L[c] + (0.0084) lpsEC[c] + (0.326) lys-L[c] + (0.146) met-L[c] + (0.00215) nad[c] + (0.00005) nadh[c] + (0.00013) nadp[c] + (0.0004) nadph[c] + (0.001935) peEC[c] + (0.0276) peptidoEC[c] + (0.000464) pgEC[c] + (0.176) phe-L[c] + (0.21) pro-L[c] + (0.000052) psEC[c] + (0.035) ptrc[c] + (0.205) ser-L[c] + (0.0070) spmd[c] + (0.000003) succoa[c] + (0.241) thr-L[c] + (0.054) trp-L[c] + (0.131) tyr-L[c] + (0.0030) udpg[c] + (0.136) utp[c] + (0.402) val-L[c] &lt;=&gt; (22.6878) adp[c] + (22.6898) pi[c] + (0.7302) ppi[c]</t>
  </si>
  <si>
    <t>mixed acid fermentation</t>
  </si>
  <si>
    <t>measurement</t>
  </si>
  <si>
    <t>measurement and mixed acid fermentation</t>
  </si>
  <si>
    <t>Comment</t>
  </si>
  <si>
    <t>including ATPM</t>
  </si>
  <si>
    <t>Equation (note [c] and [e] at the beginning refer to the compartment the reaction takes place in, cytosolic and extracellular respectively)</t>
  </si>
  <si>
    <t>12ppd-S[e] &lt;=&gt; 12ppd-S[c]</t>
  </si>
  <si>
    <t>4abut[e] + h[e] &lt;=&gt; 4abut[c] + h[c]</t>
  </si>
  <si>
    <t>acac[e] + h[e] &lt;=&gt; acac[c] + h[c]</t>
  </si>
  <si>
    <t>acald[e] &lt;=&gt; acald[c]</t>
  </si>
  <si>
    <t>acgam[e] + pep[c] &lt;=&gt; acgam6p[c] + pyr[c]</t>
  </si>
  <si>
    <t>acmana[e] + pep[c] &lt;=&gt; acmanap[c] + pyr[c]</t>
  </si>
  <si>
    <t>acnam[e] + h[e] &lt;=&gt; acnam[c] + h[c]</t>
  </si>
  <si>
    <t>ac[e] + h[e] &lt;=&gt; ac[c] + h[c]</t>
  </si>
  <si>
    <t>ade[e] + h[e] &lt;=&gt; ade[c] + h[c]</t>
  </si>
  <si>
    <t>adn[e] + h[e] &lt;=&gt; adn[c] + h[c]</t>
  </si>
  <si>
    <t>ADNt2r</t>
  </si>
  <si>
    <t>adenosine transport in via proton symport, reversible</t>
  </si>
  <si>
    <t>akg[e] + h[e] &lt;=&gt; akg[c] + h[c]</t>
  </si>
  <si>
    <t>ala-L[e] + atp[c] + h2o[c] &lt;=&gt; adp[c] + ala-L[c] + h[c] + pi[c]</t>
  </si>
  <si>
    <t>ala-L[c] &lt;=&gt; ala-D[c]</t>
  </si>
  <si>
    <t>alanine racemase (irreversible)</t>
  </si>
  <si>
    <t>ala-L[e] + h[e] &lt;=&gt; ala-L[c] + h[c]</t>
  </si>
  <si>
    <t>alltn[e] + h[e] &lt;=&gt; alltn[c] + h[c]</t>
  </si>
  <si>
    <t>arab-L[e] + atp[c] + h2o[c] &lt;=&gt; adp[c] + arab-L[c] + h[c] + pi[c]</t>
  </si>
  <si>
    <t>arab-L[e] + h[e] &lt;=&gt; arab-L[c] + h[c]</t>
  </si>
  <si>
    <t>arg-L[e] + atp[c] + h2o[c] &lt;=&gt; adp[c] + arg-L[c] + h[c] + pi[c]</t>
  </si>
  <si>
    <t>arg-L[e] + orn[c] &lt;=&gt; arg-L[c] + orn[e]</t>
  </si>
  <si>
    <t>asn-L[e] + atp[c] + h2o[c] &lt;=&gt; adp[c] + asn-L[c] + h[c] + pi[c]</t>
  </si>
  <si>
    <t>asn-L[e] + h[e] &lt;=&gt; asn-L[c] + h[c]</t>
  </si>
  <si>
    <t>asp-L[e] + atp[c] + h2o[c] &lt;=&gt; adp[c] + asp-L[c] + h[c] + pi[c]</t>
  </si>
  <si>
    <t>asp-L[e] + h[e] &lt;=&gt; asp-L[c] + h[c]</t>
  </si>
  <si>
    <t>ASPt22</t>
  </si>
  <si>
    <t>Aspartate transport via proton symport (2 H)</t>
  </si>
  <si>
    <t>asp-L[e] + (2) h[e] &lt;=&gt; asp-L[c] + (2) h[c]</t>
  </si>
  <si>
    <t>ASPt23</t>
  </si>
  <si>
    <t>L-asparate transport via proton symport (3 H)</t>
  </si>
  <si>
    <t>asp-L[e] + (3) h[e] &lt;=&gt; asp-L[c] + (3) h[c]</t>
  </si>
  <si>
    <t>adp[c] + (4) h[e] + pi[c] &lt;=&gt; atp[c] + (3) h[c] + h2o[c]</t>
  </si>
  <si>
    <t>EC-3.6.3.14</t>
  </si>
  <si>
    <t>but[e] + h[e] &lt;=&gt; but[c] + h[c]</t>
  </si>
  <si>
    <t>15dap[c] + h[e] + lys-L[e] &lt;=&gt; 15dap[e] + h[c] + lys-L[c]</t>
  </si>
  <si>
    <t>atp[c] + cbl1[e] + h2o[c] &lt;=&gt; adp[c] + cbl1[c] + h[c] + pi[c]</t>
  </si>
  <si>
    <t>atp[c] + chol[e] + h2o[c] &lt;=&gt; adp[c] + chol[c] + h[c] + pi[c]</t>
  </si>
  <si>
    <t>chol[e] + h[e] &lt;=&gt; chol[c] + h[c]</t>
  </si>
  <si>
    <t>cit[e] + succ[c] &lt;=&gt; cit[c] + succ[e]</t>
  </si>
  <si>
    <t>co2tot[e] &lt;=&gt; co2tot[c]</t>
  </si>
  <si>
    <t>crn[e] + gbbtn[c] &lt;=&gt; crn[c] + gbbtn[e]</t>
  </si>
  <si>
    <t>csn[e] + h[e] &lt;=&gt; csn[c] + h[c]</t>
  </si>
  <si>
    <t>cynt[e] + h[e] &lt;=&gt; cynt[c] + h[c]</t>
  </si>
  <si>
    <t>atp[c] + cys-L[e] + h2o[c] &lt;=&gt; adp[c] + cys-L[c] + h[c] + pi[c]</t>
  </si>
  <si>
    <t>(2) h[c] + (0.5) o2[c] + q8h2[c] &lt;=&gt; (2) h[e] + h2o[c] + q8[c]</t>
  </si>
  <si>
    <t>(2.5) h[c] + (0.5) o2[c] + q8h2[c] &lt;=&gt; (2.5) h[e] + h2o[c] + q8[c]</t>
  </si>
  <si>
    <t>cytd[e] + h[e] &lt;=&gt; cytd[c] + h[c]</t>
  </si>
  <si>
    <t>CYTDt2r</t>
  </si>
  <si>
    <t>cytidine transport in via proton symport, reversible</t>
  </si>
  <si>
    <t>dad-2[e] + h[e] &lt;=&gt; dad-2[c] + h[c]</t>
  </si>
  <si>
    <t>ala-D[e] + h[e] &lt;=&gt; ala-D[c] + h[c]</t>
  </si>
  <si>
    <t>26dap-M[e] + atp[c] + h2o[c] &lt;=&gt; 26dap-M[c] + adp[c] + h[c] + pi[c]</t>
  </si>
  <si>
    <t>dcyt[e] + h[e] &lt;=&gt; dcyt[c] + h[c]</t>
  </si>
  <si>
    <t>2ddglcn[e] + h[e] &lt;=&gt; 2ddglcn[c] + h[c]</t>
  </si>
  <si>
    <t>dgsn[e] + h[e] &lt;=&gt; dgsn[c] + h[c]</t>
  </si>
  <si>
    <t>dha[e] &lt;=&gt; dha[c]</t>
  </si>
  <si>
    <t>din[e] + h[e] &lt;=&gt; din[c] + h[c]</t>
  </si>
  <si>
    <t>h[e] + lac-D[e] &lt;=&gt; h[c] + lac-D[c]</t>
  </si>
  <si>
    <t>dmso[e] + mql8[c] &lt;=&gt; dms[e] + h2o[e] + mqn8[c]</t>
  </si>
  <si>
    <t>2dmmql8[c] + dmso[e] &lt;=&gt; 2dmmq8[c] + dms[e] + h2o[e]</t>
  </si>
  <si>
    <t>h[e] + ser-D[e] &lt;=&gt; h[c] + ser-D[c]</t>
  </si>
  <si>
    <t>duri[e] + h[e] &lt;=&gt; duri[c] + h[c]</t>
  </si>
  <si>
    <t>etoh[e] + h[e] &lt;=&gt; etoh[c] + h[c]</t>
  </si>
  <si>
    <t>for[c] + (3) h[c] + q8[c] &lt;=&gt; co2tot[c] + (2) h[e] + q8h2[c]</t>
  </si>
  <si>
    <t>EC-1.2.2.1</t>
  </si>
  <si>
    <t>for[c] + (3) h[c] + mqn8[c] &lt;=&gt; co2tot[c] + (2) h[e] + mql8[c]</t>
  </si>
  <si>
    <t>atp[c] + fe2[e] + h2o[c] &lt;=&gt; adp[c] + fe2[c] + h[c] + pi[c]</t>
  </si>
  <si>
    <t>for[e] &lt;=&gt; for[c]</t>
  </si>
  <si>
    <t>fru[e] + pep[c] &lt;=&gt; f1p[c] + pyr[c]</t>
  </si>
  <si>
    <t>fru[e] + pep[c] &lt;=&gt; f6p[c] + pyr[c]</t>
  </si>
  <si>
    <t>fuc1p-L[e] + (2) pi[c] &lt;=&gt; fuc1p-L[c] + (2) pi[e]</t>
  </si>
  <si>
    <t>fuc-L[e] + h[e] &lt;=&gt; fuc-L[c] + h[c]</t>
  </si>
  <si>
    <t>fum[e] + (2) h[e] &lt;=&gt; fum[c] + (2) h[c]</t>
  </si>
  <si>
    <t>53,126</t>
  </si>
  <si>
    <t>g6p[e] + (2) pi[c] &lt;=&gt; g6p[c] + (2) pi[e]</t>
  </si>
  <si>
    <t>atp[c] + gal[e] + h2o[c] &lt;=&gt; adp[c] + gal[c] + h[c] + pi[c]</t>
  </si>
  <si>
    <t>galctn-D[e] + h[e] &lt;=&gt; galctn-D[c] + h[c]</t>
  </si>
  <si>
    <t>galct-D[e] + h[e] &lt;=&gt; galct-D[c] + h[c]</t>
  </si>
  <si>
    <t>gal[e] + h[e] &lt;=&gt; gal[c] + h[c]</t>
  </si>
  <si>
    <t>galt[e] + pep[c] &lt;=&gt; galt1p[c] + pyr[c]</t>
  </si>
  <si>
    <t>galur[e] + h[e] &lt;=&gt; galur[c] + h[c]</t>
  </si>
  <si>
    <t>gam[e] + pep[c] &lt;=&gt; gam6p[c] + pyr[c]</t>
  </si>
  <si>
    <t>glcn[e] + h[e] &lt;=&gt; glcn[c] + h[c]</t>
  </si>
  <si>
    <t>glc-D[e] + pep[c] &lt;=&gt; g6p[c] + pyr[c]</t>
  </si>
  <si>
    <t>glcr[e] + h[e] &lt;=&gt; glcr[c] + h[c]</t>
  </si>
  <si>
    <t>glc-D[e] + h[e] &lt;=&gt; glc-D[c] + h[c]</t>
  </si>
  <si>
    <t>glcur[e] + h[e] &lt;=&gt; glcur[c] + h[c]</t>
  </si>
  <si>
    <t>atp[c] + gln-L[e] + h2o[c] &lt;=&gt; adp[c] + gln-L[c] + h[c] + pi[c]</t>
  </si>
  <si>
    <t>atp[c] + glu-L[e] + h2o[c] &lt;=&gt; adp[c] + glu-L[c] + h[c] + pi[c]</t>
  </si>
  <si>
    <t>4abut[c] + glu-L[e] &lt;=&gt; 4abut[e] + glu-L[c]</t>
  </si>
  <si>
    <t>glu-L[e] + h[e] &lt;=&gt; glu-L[c] + h[c]</t>
  </si>
  <si>
    <t>glu-L[e] + na1[e] &lt;=&gt; glu-L[c] + na1[c]</t>
  </si>
  <si>
    <t>glyald[e] &lt;=&gt; glyald[c]</t>
  </si>
  <si>
    <t>atp[c] + glyb[e] + h2o[c] &lt;=&gt; adp[c] + glyb[c] + h[c] + pi[c]</t>
  </si>
  <si>
    <t>glyb[e] + h[e] &lt;=&gt; glyb[c] + h[c]</t>
  </si>
  <si>
    <t>atp[c] + glyc3p[e] + h2o[c] &lt;=&gt; adp[c] + glyc3p[c] + h[c] + pi[c]</t>
  </si>
  <si>
    <t>glyc3p[e] + pi[c] &lt;=&gt; glyc3p[c] + pi[e]</t>
  </si>
  <si>
    <t>glyclt[e] + h[e] &lt;=&gt; glyclt[c] + h[c]</t>
  </si>
  <si>
    <t>glyc[c] &lt;=&gt; glyc[e]</t>
  </si>
  <si>
    <t>gly[e] + h[e] &lt;=&gt; gly[c] + h[c]</t>
  </si>
  <si>
    <t>gsn[e] + h[e] &lt;=&gt; gsn[c] + h[c]</t>
  </si>
  <si>
    <t>gua[e] &lt;=&gt; gua[c]</t>
  </si>
  <si>
    <t>GUAt2</t>
  </si>
  <si>
    <t>guanine transport in via proton symport</t>
  </si>
  <si>
    <t>gua[e] + h[e] &lt;=&gt; gua[c] + h[c]</t>
  </si>
  <si>
    <t>h2o[e] &lt;=&gt; h2o[c]</t>
  </si>
  <si>
    <t>3hcinnm[e] + h[e] &lt;=&gt; 3hcinnm[c] + h[c]</t>
  </si>
  <si>
    <t>HCO3E</t>
  </si>
  <si>
    <t>HCO3 equilibration reaction</t>
  </si>
  <si>
    <t>co2tot[c] + h2o[c] &lt;=&gt; h[c] + hco3[c]</t>
  </si>
  <si>
    <t>h[e] + hdca[e] &lt;=&gt; h[c] + hdca[c]</t>
  </si>
  <si>
    <t>atp[c] + h2o[c] + his-L[e] &lt;=&gt; adp[c] + h[c] + his-L[c] + pi[c]</t>
  </si>
  <si>
    <t>h[e] + his-L[e] &lt;=&gt; h[c] + his-L[c]</t>
  </si>
  <si>
    <t>3hpppn[e] + h[e] &lt;=&gt; 3hpppn[c] + h[c]</t>
  </si>
  <si>
    <t>(2) h[c] + h2[c] + q8[c] &lt;=&gt; (2) h[e] + q8h2[c]</t>
  </si>
  <si>
    <t>EC-1.18.99.1</t>
  </si>
  <si>
    <t>(2) h[c] + h2[c] + mqn8[c] &lt;=&gt; (2) h[e] + mql8[c]</t>
  </si>
  <si>
    <t>2dmmq8[c] + (2) h[c] + h2[c] &lt;=&gt; 2dmmql8[c] + (2) h[e]</t>
  </si>
  <si>
    <t>hxan[e] &lt;=&gt; hxan[c]</t>
  </si>
  <si>
    <t>h[e] + idon-L[e] &lt;=&gt; h[c] + idon-L[c]</t>
  </si>
  <si>
    <t>atp[c] + h2o[c] + ile-L[e] &lt;=&gt; adp[c] + h[c] + ile-L[c] + pi[c]</t>
  </si>
  <si>
    <t>h[e] + ile-L[e] &lt;=&gt; h[c] + ile-L[c]</t>
  </si>
  <si>
    <t>h[e] + indole[e] &lt;=&gt; h[c] + indole[c]</t>
  </si>
  <si>
    <t>58,119</t>
  </si>
  <si>
    <t>atp[c] + h2o[c] + k[e] &lt;=&gt; adp[c] + h[c] + k[c] + pi[c]</t>
  </si>
  <si>
    <t>h[e] + k[e] &lt;=&gt; h[c] + k[c]</t>
  </si>
  <si>
    <t>h[e] + lcts[e] &lt;=&gt; h[c] + lcts[c]</t>
  </si>
  <si>
    <t>atp[c] + h2o[c] + leu-L[e] &lt;=&gt; adp[c] + h[c] + leu-L[c] + pi[c]</t>
  </si>
  <si>
    <t>h[e] + leu-L[e] &lt;=&gt; h[c] + leu-L[c]</t>
  </si>
  <si>
    <t>h[e] + lac-L[e] &lt;=&gt; h[c] + lac-L[c]</t>
  </si>
  <si>
    <t>atp[c] + h2o[c] + lys-L[e] &lt;=&gt; adp[c] + h[c] + lys-L[c] + pi[c]</t>
  </si>
  <si>
    <t>h[e] + lys-L[e] &lt;=&gt; h[c] + lys-L[c]</t>
  </si>
  <si>
    <t>(2) h[e] + mal-L[e] &lt;=&gt; (2) h[c] + mal-L[c]</t>
  </si>
  <si>
    <t>atp[c] + h2o[c] + malt[e] &lt;=&gt; adp[c] + h[c] + malt[c] + pi[c]</t>
  </si>
  <si>
    <t>atp[c] + h2o[c] + malthx[e] &lt;=&gt; adp[c] + h[c] + malthx[c] + pi[c]</t>
  </si>
  <si>
    <t>atp[c] + h2o[c] + maltpt[e] &lt;=&gt; adp[c] + h[c] + maltpt[c] + pi[c]</t>
  </si>
  <si>
    <t>malt[e] + pep[c] &lt;=&gt; malt6p[c] + pyr[c]</t>
  </si>
  <si>
    <t>atp[c] + h2o[c] + malttr[e] &lt;=&gt; adp[c] + h[c] + malttr[c] + pi[c]</t>
  </si>
  <si>
    <t>atp[c] + h2o[c] + maltttr[e] &lt;=&gt; adp[c] + h[c] + maltttr[c] + pi[c]</t>
  </si>
  <si>
    <t>man6p[e] + (2) pi[c] &lt;=&gt; man6p[c] + (2) pi[e]</t>
  </si>
  <si>
    <t>man[e] + pep[c] &lt;=&gt; man6p[c] + pyr[c]</t>
  </si>
  <si>
    <t>h[e] + melib[e] &lt;=&gt; h[c] + melib[c]</t>
  </si>
  <si>
    <t>atp[c] + h2o[c] + met-L[e] &lt;=&gt; adp[c] + h[c] + met-L[c] + pi[c]</t>
  </si>
  <si>
    <t>atp[c] + h2o[c] + met-D[e] &lt;=&gt; adp[c] + h[c] + met-D[c] + pi[c]</t>
  </si>
  <si>
    <t>mnl[e] + pep[c] &lt;=&gt; mnl1p[c] + pyr[c]</t>
  </si>
  <si>
    <t>nac[e] &lt;=&gt; nac[c]</t>
  </si>
  <si>
    <t>(4.5) h[c] + nadh[c] + q8[c] &lt;=&gt; (3.5) h[e] + nad[c] + q8h2[c]</t>
  </si>
  <si>
    <t>(3) h[c] + mqn8[c] + nadh[c] &lt;=&gt; (2) h[e] + mql8[c] + nad[c]</t>
  </si>
  <si>
    <t>2dmmq8[c] + (3.8) h[c] + nadh[c] &lt;=&gt; 2dmmql8[c] + (2.8) h[e] + nad[c]</t>
  </si>
  <si>
    <t>h[e] + na1[c] &lt;=&gt; h[c] + na1[e]</t>
  </si>
  <si>
    <t>(3) h[e] + (2) na1[c] &lt;=&gt; (3) h[c] + (2) na1[e]</t>
  </si>
  <si>
    <t>nh3[e] &lt;=&gt; nh3[c]</t>
  </si>
  <si>
    <t>nmn[e] &lt;=&gt; nmn[c]</t>
  </si>
  <si>
    <t>h2o[c] + nmn[e] &lt;=&gt; h[c] + ncam[c] + r5p[c]</t>
  </si>
  <si>
    <t>h[e] + no2[e] &lt;=&gt; h[c] + no2[c]</t>
  </si>
  <si>
    <t>(2) h[c] + no3[c] + q8h2[c] &lt;=&gt; (2) h[e] + h2o[c] + no2[c] + q8[c]</t>
  </si>
  <si>
    <t>EC-1.7.99.4</t>
  </si>
  <si>
    <t>(2) h[c] + mql8[c] + no3[c] &lt;=&gt; (2) h[e] + h2o[c] + mqn8[c] + no2[c]</t>
  </si>
  <si>
    <t>no2[c] + no3[e] &lt;=&gt; no2[e] + no3[c]</t>
  </si>
  <si>
    <t>o2[e] &lt;=&gt; o2[c]</t>
  </si>
  <si>
    <t>h[e] + ocdca[e] &lt;=&gt; h[c] + ocdca[c]</t>
  </si>
  <si>
    <t>atp[c] + h2o[c] + orn[e] &lt;=&gt; adp[c] + h[c] + orn[c] + pi[c]</t>
  </si>
  <si>
    <t>h[e] + phe-L[e] &lt;=&gt; h[c] + phe-L[c]</t>
  </si>
  <si>
    <t>atp[c] + h2o[c] + pi[e] &lt;=&gt; adp[c] + h[c] + (2) pi[c]</t>
  </si>
  <si>
    <t>h[e] + pi[e] &lt;=&gt; h[c] + pi[c]</t>
  </si>
  <si>
    <t>na1[e] + pnto-R[e] &lt;=&gt; na1[c] + pnto-R[c]</t>
  </si>
  <si>
    <t>h[e] + pppn[e] &lt;=&gt; h[c] + pppn[c]</t>
  </si>
  <si>
    <t>atp[c] + h2o[c] + pro-L[e] &lt;=&gt; adp[c] + h[c] + pi[c] + pro-L[c]</t>
  </si>
  <si>
    <t>h[e] + pro-L[e] &lt;=&gt; h[c] + pro-L[c]</t>
  </si>
  <si>
    <t>na1[e] + pro-L[e] &lt;=&gt; na1[c] + pro-L[c]</t>
  </si>
  <si>
    <t>atp[c] + h2o[c] + ptrc[e] &lt;=&gt; adp[c] + h[c] + pi[c] + ptrc[c]</t>
  </si>
  <si>
    <t>orn[c] + ptrc[e] &lt;=&gt; orn[e] + ptrc[c]</t>
  </si>
  <si>
    <t>h[e] + ptrc[e] &lt;=&gt; h[c] + ptrc[c]</t>
  </si>
  <si>
    <t>h[e] + pyr[e] &lt;=&gt; h[c] + pyr[c]</t>
  </si>
  <si>
    <t>atp[c] + h2o[c] + rib-D[e] &lt;=&gt; adp[c] + h[c] + pi[c] + rib-D[c]</t>
  </si>
  <si>
    <t>h[e] + rmn[e] &lt;=&gt; h[c] + rmn[c]</t>
  </si>
  <si>
    <t>pep[c] + sbt-D[e] &lt;=&gt; pyr[c] + sbt6p[c]</t>
  </si>
  <si>
    <t>h[e] + ser-L[e] &lt;=&gt; h[c] + ser-L[c]</t>
  </si>
  <si>
    <t>na1[e] + ser-L[e] &lt;=&gt; na1[c] + ser-L[c]</t>
  </si>
  <si>
    <t>atp[c] + h2o[c] + spmd[e] &lt;=&gt; adp[c] + h[c] + pi[c] + spmd[c]</t>
  </si>
  <si>
    <t>atp[c] + h2o[c] + succ[e] &lt;=&gt; adp[c] + h[c] + pi[c] + succ[c]</t>
  </si>
  <si>
    <t>(2) h[e] + succ[e] &lt;=&gt; (2) h[c] + succ[c]</t>
  </si>
  <si>
    <t>h[c] + succ[c] &lt;=&gt; h[e] + succ[e]</t>
  </si>
  <si>
    <t>fum[e] + succ[c] &lt;=&gt; fum[c] + succ[e]</t>
  </si>
  <si>
    <t>pep[c] + sucr[e] &lt;=&gt; pyr[c] + suc6p[c]</t>
  </si>
  <si>
    <t>atp[c] + h2o[c] + so4[e] &lt;=&gt; adp[c] + h[c] + pi[c] + so4[c]</t>
  </si>
  <si>
    <t>succ[c] + tartr-L[e] &lt;=&gt; succ[e] + tartr-L[c]</t>
  </si>
  <si>
    <t>atp[c] + h2o[c] + taur[e] &lt;=&gt; adp[c] + h[c] + pi[c] + taur[c]</t>
  </si>
  <si>
    <t>(2) h[e] + nadh[c] + nadp[c] &lt;=&gt; (2) h[c] + nad[c] + nadph[c]</t>
  </si>
  <si>
    <t>EC-1.6.1.1</t>
  </si>
  <si>
    <t>atp[c] + h2o[c] + thm[e] &lt;=&gt; adp[c] + h[c] + pi[c] + thm[c]</t>
  </si>
  <si>
    <t>atp[c] + h2o[c] + thr-L[e] &lt;=&gt; adp[c] + h[c] + pi[c] + thr-L[c]</t>
  </si>
  <si>
    <t>h[e] + thr-L[e] &lt;=&gt; h[c] + thr-L[c]</t>
  </si>
  <si>
    <t>na1[e] + thr-L[e] &lt;=&gt; na1[c] + thr-L[c]</t>
  </si>
  <si>
    <t>h[e] + mql8[c] + tmao[e] &lt;=&gt; h2o[e] + mqn8[c] + tma[e]</t>
  </si>
  <si>
    <t>2dmmql8[c] + h[e] + tmao[e] &lt;=&gt; 2dmmq8[c] + h2o[e] + tma[e]</t>
  </si>
  <si>
    <t>pep[c] + tre[e] &lt;=&gt; pyr[c] + tre6p[c]</t>
  </si>
  <si>
    <t>h[e] + trp-L[e] &lt;=&gt; h[c] + trp-L[c]</t>
  </si>
  <si>
    <t>atp[c] + h2o[c] + tsul[e] &lt;=&gt; adp[c] + h[c] + pi[c] + tsul[c]</t>
  </si>
  <si>
    <t>h[e] + ttdca[e] &lt;=&gt; h[c] + ttdca[c]</t>
  </si>
  <si>
    <t>h[e] + tyr-L[e] &lt;=&gt; h[c] + tyr-L[c]</t>
  </si>
  <si>
    <t>82,131</t>
  </si>
  <si>
    <t>urea[e] &lt;=&gt; urea[c]</t>
  </si>
  <si>
    <t>atp[c] + h2o[c] + val-L[e] &lt;=&gt; adp[c] + h[c] + pi[c] + val-L[c]</t>
  </si>
  <si>
    <t>h[e] + val-L[e] &lt;=&gt; h[c] + val-L[c]</t>
  </si>
  <si>
    <t>xan[e] &lt;=&gt; xan[c]</t>
  </si>
  <si>
    <t>h[e] + xtsn[e] &lt;=&gt; h[c] + xtsn[c]</t>
  </si>
  <si>
    <t>atp[c] + h2o[c] + xyl-D[e] &lt;=&gt; adp[c] + h[c] + pi[c] + xyl-D[c]</t>
  </si>
  <si>
    <t>h[e] + xyl-D[e] &lt;=&gt; h[c] + xyl-D[c]</t>
  </si>
  <si>
    <t xml:space="preserve">ala-L[e] + (2) atp[c] + h2o[c]  &lt;=&gt; (2) adp[c] + ala-L[c] + (2) pi[c] </t>
  </si>
  <si>
    <t xml:space="preserve">(2) atp[c] + (2) h2o[c]  &lt;=&gt; (2) adp[c] + (2) pi[c] </t>
  </si>
  <si>
    <t xml:space="preserve">arab-L[e] + (2) atp[c] + (2) h2o[c]  &lt;=&gt; (2) adp[c] + arab-L[c] + (2) pi[c] </t>
  </si>
  <si>
    <t xml:space="preserve">arg-L[e] + (2) atp[c] + (2) h2o[c]  &lt;=&gt; (2) adp[c] + arg-L[c] + (2) pi[c] </t>
  </si>
  <si>
    <t xml:space="preserve">asn-L[e] + (2) atp[c] + (2) h2o[c]  &lt;=&gt; (2) adp[c] + asn-L[c] + (2) pi[c] </t>
  </si>
  <si>
    <t xml:space="preserve">asp-L[e] + (2) atp[c] + (2) h2o[c]  &lt;=&gt; (2) adp[c] + asp-L[c] + (2) pi[c] </t>
  </si>
  <si>
    <t xml:space="preserve">(2) atp[c] + cbl1[e] + (2) h2o[c]  &lt;=&gt; (2) adp[c] + cbl1[c] + (2) pi[c] </t>
  </si>
  <si>
    <t xml:space="preserve">(2) atp[c] + chol[e] + (2) h2o[c]  &lt;=&gt; (2) adp[c] + chol[c] + (2) pi[c] </t>
  </si>
  <si>
    <t>csn{-1}[e] + h{1}[e] &lt;=&gt; csn{-1}[c] + h{1}[c]</t>
  </si>
  <si>
    <t>CSNt2_add</t>
  </si>
  <si>
    <t xml:space="preserve">(2) atp[c] + cys-L[e] + (2) h2o[c]  &lt;=&gt; (2) adp[c] + cys-L[c] + (2) pi[c] </t>
  </si>
  <si>
    <t xml:space="preserve">26dap-M[e] + (2) atp[c] + (2) h2o[c]  &lt;=&gt; 26dap-M[c] + (2) adp[c] + (2) pi[c] </t>
  </si>
  <si>
    <t>duri{-1}[e] + h{1}[e] &lt;=&gt; duri{-1}[c] + h{1}[c]</t>
  </si>
  <si>
    <t>DURIt2_add</t>
  </si>
  <si>
    <t xml:space="preserve">(2) atp[c] + fe2[e] + (2) h2o[c]  &lt;=&gt; (2) adp[c] + fe2[c] + (2) pi[c] </t>
  </si>
  <si>
    <t xml:space="preserve">fuc1p-L[e] + pi[c]  &lt;=&gt; fuc1p-L[c] + pi[e] </t>
  </si>
  <si>
    <t xml:space="preserve">fuc1p-L{-2}[e] + pi{-2}[c]  &lt;=&gt; fuc1p-L{-2}[c] + pi{-2}[e] </t>
  </si>
  <si>
    <t xml:space="preserve">g6p[e] + pi[c]  &lt;=&gt; g6p[c] + pi[e] </t>
  </si>
  <si>
    <t xml:space="preserve">g6p{-2}[e] + pi{-2}[c]  &lt;=&gt; g6p{-2}[c] + pi{-2}[e] </t>
  </si>
  <si>
    <t xml:space="preserve">(2) atp[c] + gal[e] + (2) h2o[c]  &lt;=&gt; (2) adp[c] + gal[c] + (2) pi[c] </t>
  </si>
  <si>
    <t>GAMpts_add</t>
  </si>
  <si>
    <t xml:space="preserve">(2) atp[c] + gln-L[e] + (2) h2o[c]  &lt;=&gt; (2) adp[c] + gln-L[c] + (2) pi[c] </t>
  </si>
  <si>
    <t xml:space="preserve">(2) atp[c] + glu-L[e] + (2) h2o[c]  &lt;=&gt; (2) adp[c] + glu-L[c] + (2) pi[c] </t>
  </si>
  <si>
    <t xml:space="preserve">(2) atp[c] + glyb[e] + (2) h2o[c]  &lt;=&gt; (2) adp[c] + glyb[c] + (2) pi[c] </t>
  </si>
  <si>
    <t xml:space="preserve">(2) atp[c] + glyc3p[e] + (2) h2o[c]  &lt;=&gt; (2) adp[c] + glyc3p[c] + (2) pi[c] </t>
  </si>
  <si>
    <t xml:space="preserve">(2) atp[c] + (2) h2o[c] + his-L[e]  &lt;=&gt; (2) adp[c] + his-L[c] + (2) pi[c] </t>
  </si>
  <si>
    <t xml:space="preserve">(2) atp[c] + (2) h2o[c] + ile-L[e]  &lt;=&gt; (2) adp[c] + ile-L[c] + (2) pi[c] </t>
  </si>
  <si>
    <t xml:space="preserve">(2) atp[c] + (2) h2o[c] + k[e]  &lt;=&gt; (2) adp[c] + k[c] + (2) pi[c] </t>
  </si>
  <si>
    <t xml:space="preserve">(2) atp[c] + (2) h2o[c] + leu-L[e]  &lt;=&gt; (2) adp[c] + leu-L[c] + (2) pi[c] </t>
  </si>
  <si>
    <t xml:space="preserve">(2) atp[c] + (2) h2o[c] + lys-L[e]  &lt;=&gt; (2) adp[c] + lys-L[c] + (2) pi[c] </t>
  </si>
  <si>
    <t xml:space="preserve">(2) atp[c] + (2) h2o[c] + malt[e]  &lt;=&gt; (2) adp[c] + malt[c] + (2) pi[c] </t>
  </si>
  <si>
    <t xml:space="preserve">(2) atp[c] + (2) h2o[c] + malthx[e]  &lt;=&gt; (2) adp[c] + malthx[c] + (2) pi[c] </t>
  </si>
  <si>
    <t xml:space="preserve">(2) atp[c] + (2) h2o[c] + maltpt[e]  &lt;=&gt; (2) adp[c] + maltpt[c] + (2) pi[c] </t>
  </si>
  <si>
    <t xml:space="preserve">(2) atp[c] + (2) h2o[c] + malttr[e]  &lt;=&gt; (2) adp[c] + malttr[c] + (2) pi[c] </t>
  </si>
  <si>
    <t xml:space="preserve">(2) atp[c] + (2) h2o[c] + maltttr[e]  &lt;=&gt; (2) adp[c] + maltttr[c] + (2) pi[c] </t>
  </si>
  <si>
    <t xml:space="preserve">man6p[e] + pi[c]  &lt;=&gt; man6p[c] + pi[e] </t>
  </si>
  <si>
    <t xml:space="preserve">man6p{-2}[e] + pi{-2}[c]  &lt;=&gt; man6p{-2}[c] + pi{-2}[e] </t>
  </si>
  <si>
    <t xml:space="preserve">(2) atp[c] + (2) h2o[c] + met-L[e]  &lt;=&gt; (2) adp[c] + met-L[c] + (2) pi[c] </t>
  </si>
  <si>
    <t xml:space="preserve">(2) atp[c] + (2) h2o[c] + met-D[e]  &lt;=&gt; (2) adp[c] + met-D[c] + (2) pi[c] </t>
  </si>
  <si>
    <t xml:space="preserve">(2) atp[c] + (2) h2o[c] + orn[e]  &lt;=&gt; (2) adp[c] + orn[c] + (2) pi[c] </t>
  </si>
  <si>
    <t xml:space="preserve">(2) atp[c] + (2) h2o[c] + pro-L[e]  &lt;=&gt; (2) adp[c] + (2) pi[c] + pro-L[c] </t>
  </si>
  <si>
    <t xml:space="preserve">(2) atp[c] + (2) h2o[c] + ptrc[e]  &lt;=&gt; (2) adp[c] + (2) pi[c] + ptrc[c] </t>
  </si>
  <si>
    <t xml:space="preserve">(2) atp[c] + (2) h2o[c] + pi[e]  &lt;=&gt; (2) adp[c] + (3) pi[c] </t>
  </si>
  <si>
    <t xml:space="preserve">(2) atp[c] + (2) h2o[c] + rib-D[e]  &lt;=&gt; (2) adp[c] + (2) pi[c] + rib-D[c] </t>
  </si>
  <si>
    <t xml:space="preserve">(2) atp[c] + (2) h2o[c] + spmd[e]  &lt;=&gt; (2) adp[c] + (2) pi[c] + spmd[c] </t>
  </si>
  <si>
    <t xml:space="preserve">(2) atp[c] + (2) h2o[c] + succ[e]  &lt;=&gt; (2) adp[c] + (2) pi[c] + succ[c] </t>
  </si>
  <si>
    <t xml:space="preserve">(2) atp[c] + (2) h2o[c] + so4[e]  &lt;=&gt; (2) adp[c] + (2) pi[c] + so4[c] </t>
  </si>
  <si>
    <t xml:space="preserve">(2) atp[c] + (2) h2o[c] + taur[e]  &lt;=&gt; (2) adp[c] + (2) pi[c] + taur[c] </t>
  </si>
  <si>
    <t xml:space="preserve">(2) atp[c] + (2) h2o[c] + thm[e]  &lt;=&gt; (2) adp[c] + (2) pi[c] + thm[c] </t>
  </si>
  <si>
    <t>THMDt2_add</t>
  </si>
  <si>
    <t>thymd{-1}[e] + h{1}[e] &lt;=&gt; thymd{-1}[c] + h{1}[c]</t>
  </si>
  <si>
    <t xml:space="preserve">(2) atp[c] + (2) h2o[c] + thr-L[e]  &lt;=&gt; (2) adp[c] + (2) pi[c] + thr-L[c] </t>
  </si>
  <si>
    <t xml:space="preserve">(2) atp[c] + (2) h2o[c] + tsul[e]  &lt;=&gt; (2) adp[c] + (2) pi[c] + tsul[c] </t>
  </si>
  <si>
    <t>uri{-1}[e] + h{1}[e]  &lt;=&gt; uri{-1}[c] + h{1}[c]</t>
  </si>
  <si>
    <t>URIt2_add</t>
  </si>
  <si>
    <t xml:space="preserve">(2) atp[c] + (2) h2o[c] + val-L[e]  &lt;=&gt; (2) adp[c] + (2) pi[c] + val-L[c] </t>
  </si>
  <si>
    <t xml:space="preserve">(2) atp[c] + (2) h2o[c] + xyl-D[e]  &lt;=&gt; (2) adp[c] + pi[c] + (2) xyl-D[c] </t>
  </si>
  <si>
    <t>reed Formula</t>
  </si>
  <si>
    <t>EC Number</t>
  </si>
  <si>
    <t>ref</t>
  </si>
  <si>
    <t xml:space="preserve">REFERENCES </t>
  </si>
  <si>
    <t>Articles</t>
  </si>
  <si>
    <t>Adam P, Hecht S, Eisenreich W, Kaiser J, Grawert T, Arigoni D, Bacher A, Rohdich F:  Biosynthesis of terpenes: Studies on 1-hydroxy-2-methyl-2-(E)-butenyl 4-diphosphate reductase. Proc Natl Acad Sci U S A  2002, 99:12103-12113</t>
  </si>
  <si>
    <t>Andrianopoulos K, Wang L, Reeves PR.:  Identification of the fucose synthetase gene in the colanic acid gene cluster of Escherichia coli K-12.. J Bacteriol 1998, 180:998-1001</t>
  </si>
  <si>
    <t>Ashiuchi M, Misono H.:  Biochemical evidence that Escherichia coli hyi (orf b0508, gip) gene encodes hydroxypyruvate isomerase.. Biochim Biophys Acta 1999, 1435:153-159</t>
  </si>
  <si>
    <t>Azizan A, Sherin D, DiRusso CC, Black PN:  Energetics underlying the process of long-chain fatty acid transport. Arch Biochem Biophys 1999, 365:299-306</t>
  </si>
  <si>
    <t>Bausch C, Peekhaus N, Utz C, Blais T, Murray E, Lowary T, Conway T:  Sequence analysis of the GntII (subsidiary) system for gluconate metabolism reveals a novel pathway for L-idonic acid catabolism in Escherichia coli. J Bacteriol 1998, 180:3704-3710</t>
  </si>
  <si>
    <t>Begley TP, Downs DM, Ealick SE, McLafferty FW, Van Loon AP, Taylor S, Campobasso N, Chiu HJ, Kinsland C, Reddick JJ, Xi J:  Thiamin biosynthesis in prokaryotes. Arch Microbiol 1999, 171:293-300</t>
  </si>
  <si>
    <t>Bhatnagar SK, Bullions LC, Bessman MJ:  Characterization of the mutT nucleoside triphosphatase of Escherichia coli.. J Biol Chem 1991, 266:9050-9054</t>
  </si>
  <si>
    <t>Blank L, Green J, Guest JR:  AcnC of Escherichia coli is a 2-methylcitrate dehydratase (PrpD) that can use citrate and isocitrate as substrates. Microbiology 2002, 148:133-146</t>
  </si>
  <si>
    <t>Bollinger JM Jr, Kwon DS, Huisman GW, Kolter R, Walsh CT.:  Glutathionylspermidine metabolism in Escherichia coli. Purification, cloning, overproduction, and characterization of a bifunctional glutathionylspermidine synthetase/amidase.. J Biol Chem 1995, 270:14031-14041</t>
  </si>
  <si>
    <t>Boos W, Shuman H.:  Maltose/maltodextrin system of Escherichia coli: transport, metabolism, and regulation.. Microbiol Mol Biol Rev 1998, 62:204-229</t>
  </si>
  <si>
    <t>Brock M, Maerker C, Schutz A, Volker U, Buckel W.:  Oxidation of propionate to pyruvate in Escherichia coli. Involvement of methylcitrate dehydratase and aconitase.. Eur J Biochem 2002, 269:6184-6194</t>
  </si>
  <si>
    <t>Bugg TD.:  Overproduction, purification and properties of 2,3-dihydroxyphenylpropionate 1,2-dioxygenase from Escherichia coli.. Biochim Biophys Acta 1993, 1202:258-264</t>
  </si>
  <si>
    <t>Cadieux N, Bradbeer C, Reeger-Schneider E, Koster W, Mohanty AK, Wiener MC, Kadner RJ.:  Identification of the periplasmic cobalamin-binding protein BtuF of Escherichia coli.. J Bacteriol 2002, 184:706-717</t>
  </si>
  <si>
    <t>Cai H, Clarke S.:  A novel methyltransferase catalyzes the methyl esterification of trans-aconitate in Escherichia coli.. J Biol Chem 1999, 274:13470-13479</t>
  </si>
  <si>
    <t>Cai H, Strouse J, Dumlao D, Jung ME, Clarke S.:  Distinct reactions catalyzed by bacterial and yeast trans-aconitate methyltransferases.. Biochemistry 2001, 40:2210-2219</t>
  </si>
  <si>
    <t>Campbell JW, Cronan Jr JE Jr:  The enigmatic Escherichia coli fadE gene is yafH.. J. Bacteriology 2002, 184:3759-3764</t>
  </si>
  <si>
    <t>Carty SM, Sreekumar KR, Raetz CR.:  Effect of cold shock on lipid A biosynthesis in Escherichia coli. Induction At 12 degrees C of an acyltransferase specific for palmitoleoyl-acyl carrier protein.. J Biol Chem 1999, 274:9677-9685</t>
  </si>
  <si>
    <t>Clegg S, Yu F, Griffiths L, Cole JA.:  The roles of the polytopic membrane proteins NarK, NarU and NirC in Escherichia coli K-12: two nitrate and three nitrite transporters.. Mol Microbiol 2002, 44:143-155</t>
  </si>
  <si>
    <t>Clugston SL, Barnard JF, Kinach R, Miedema D, Ruman R, Daub E, Honek JF.:  Overproduction and characterization of a dimeric non-zinc glyoxalase I from Escherichia coli: evidence for optimal activation by nickel ions.. Biochemistry 1998, 37:8754-8763</t>
  </si>
  <si>
    <t>Contestabile R, Paiardini A, Pascarella S, di Salvo ML, D'Aguanno S, Bossa F.:  l-Threonine aldolase, serine hydroxymethyltransferase and fungal alanine racemase. A subgroup of strictly related enzymes specialized for different functions.. Eur J Biochem 2001, 268:6508-6525</t>
  </si>
  <si>
    <t>Cornell KA, Riscoe MK.:  Cloning and expression of Escherichia coli 5'-methylthioadenosine/S-adenosylhomocysteine nucleosidase: identification of the pfs gene product.. Biochim Biophys Acta 1998, 1396:8-14</t>
  </si>
  <si>
    <t>Cusa E, Obradors N, Baldoma L, Badia J, Aguilar J:  Genetic analysis of a chromosomal region containing genes required for assimilation of allantoin nitrogen and linked glyoxylate metabolism in Escherichia coli. J Bacteriol 1999, 181:7479-7484</t>
  </si>
  <si>
    <t>Danese PN, Oliver GR, Barr K, Bowman GD, Rick PD, Silhavy TJ:  Accumulation of the enterobacterial common antigen lipid II biosynthetic intermediate stimulates degP transcription in Escherichia coli. J Bacteriol 1998, 180:5875-5874</t>
  </si>
  <si>
    <t>Diaz E, Ferrandez A, Garcia JL:  Characterization of the hca cluster encoding the dioxygenolytic pathway for initial catabolism of 3-phenylpropionic acid in Escherichia coli K-12. J Bacteriol 1998, 180:2915-2923</t>
  </si>
  <si>
    <t>Diaz E, Ferrandez A, Prieto MA, Garcia JL.:  Biodegradation of aromatic compounds by Escherichia coli.. Microbiol Mol Biol Rev 2001, 65:523-569</t>
  </si>
  <si>
    <t>Ehmann DE, Shaw-Reid CA, Losey HC, Walsh CT:  The EntF and EntE adenylation domains of Escherichia coli enterobactin synthetase: sequestration and selectivity in acyl-AMP transfers to thiolation domain cosubstrates. Proc Natl Acad Sci U S A  1997, 97:2509-2514</t>
  </si>
  <si>
    <t>Eichhorn E, van der Ploeg JR, Leisinger T.:  Deletion analysis of the Escherichia coli taurine and alkanesulfonate transport systems.. J Bacteriol 2000, 182:2687-2695</t>
  </si>
  <si>
    <t>Elssner T, Engemann C, Baumgart K, Kleber HP.:  Involvement of coenzyme A esters and two new enzymes, an enoyl-CoA hydratase and a CoA-transferase, in the hydration of crotonobetaine to L-carnitine by Escherichia coli.. Biochemistry 2001, 40:11140-11148</t>
  </si>
  <si>
    <t>Falkenberg P, Strom AR.:  Purification and characterization of osmoregulatory betaine aldehyde dehydrogenase of Escherichia coli.. Biochim Biophys Acta 1990, 1034:253-259</t>
  </si>
  <si>
    <t>Faure M, Bourguignon J, Neuburger M, MacHerel D, Sieker L, Ober R, Kahn R, Cohen-Addad C, Douce R:  Interaction between the lipoamide-containing H-protein and the lipoamide dehydrogenase (L-protein) of the glycine decarboxylase multienzyme system 2. Crystal structures of H- and L-proteins. Eur J Biochem  2000, 267:2890-2898</t>
  </si>
  <si>
    <t>Ferrandez A, Garcia JL, Diaz E:  Genetic characterization and expression in heterologous hosts of the 3-(3-hydroxyphenyl)propionate catabolic pathway of Escherichia coli K-12. J Bacteriol 1997, 179:2573-2581</t>
  </si>
  <si>
    <t>Ferrandez A, Minambres B, Garcia B, Olivera ER, Luengo JM, Garcia JL, Diaz E.:  Catabolism of phenylacetic acid in Escherichia coli. Characterization of a new aerobic hybrid pathway.. J Biol Chem 1998, 273:25974-25986</t>
  </si>
  <si>
    <t>Ferrandez A, Prieto MA, Garcia JL, Diaz E.:  Molecular characterization of PadA, a phenylacetaldehyde dehydrogenase from Escherichia coli.. FEBS Lett 1997, 406:23-27</t>
  </si>
  <si>
    <t>Fraser HI, Kvaratskhelia M, White MF.:  The two analogous phosphoglycerate mutases of Escherichia coli.. FEBS Lett 1999, 455:344-348</t>
  </si>
  <si>
    <t>Fukuchi J, Kashiwagi K, Takio K, Igarashi K:  Properties and structure of spermidine acetyltransferase in Escherichia coli. J Biol Chem 1994, 269:22581-22585</t>
  </si>
  <si>
    <t>Ganea C, Pourcher T, Leblanc G, Fendler K:  Evidence for intraprotein charge transfer during the transport activity of the melibiose permease from Escherichia coli. Biochemistry 2001, 40:13744-13752</t>
  </si>
  <si>
    <t>Gehring AM, Mori I, Walsh CT:  Reconstitution and characterization of the Escherichia coli enterobactin synthetase from EntB, EntE, and EntF. Biochemistry 1998, 37:2648-2659</t>
  </si>
  <si>
    <t>Giaever HM, Styrvold OB, Kaasen I, Strom AR.:  Biochemical and genetic characterization of osmoregulatory trehalose synthesis in Escherichia coli.. J Bacteriol 1988, 170:2841-2849</t>
  </si>
  <si>
    <t>Gon S, Patte JC, Mejean V, Iobbi-Nivol C.:  The torYZ (yecK bisZ) operon encodes a third respiratory trimethylamine N-oxide reductase in Escherichia coli.. J Bacteriol 2000, 182:5779-5786</t>
  </si>
  <si>
    <t>Guilloton MB, Lamblin AF, Kozliak EI, Gerami-Nejad M, Tu C, Silverman D, Anderson PM, Fuchs JA.:  A physiological role for cyanate-induced carbonic anhydrase in Escherichia coli.. J Bacteriol 1993, 175:1443-1451</t>
  </si>
  <si>
    <t>Guranowski A, Jakubowski H, Holler E.:  Catabolism of diadenosine 5',5"'-P1,P4-tetraphosphate in procaryotes. Purification and properties of diadenosine 5',5"'-P1,P4-tetraphosphate (symmetrical) pyrophosphohydrolase from Escherichia coli K12.. J Biol Chem 1983, 258:14784-14789</t>
  </si>
  <si>
    <t>Gutknecht R, Beutler R, Garcia-Alles LF, Baumann U, Erni B.:  The dihydroxyacetone kinase of Escherichia coli utilizes a phosphoprotein instead of ATP as phosphoryl donor.. EMBO J 2001, 20:2480-2486</t>
  </si>
  <si>
    <t>Haller T, Buckel T, Retey J, Gerlt JA.:  Discovering new enzymes and metabolic pathways: conversion of succinate to propionate by Escherichia coli.. Biochemistry 2000, 39:4622-4629</t>
  </si>
  <si>
    <t>Heath, R.J. and C.O. Rock:  Roles of FabA and FabZ b-hydroxyacyl-acyl-carrier protein dehydratases in Escherichia coli fatty acid biosynthesis. Journal of Biological Chemistry 1996, 271:27795-27801</t>
  </si>
  <si>
    <t>Hecht S, Eisenreich W, Adam P, Amslinger S, Kis K, Bacher A, Arigoni D, Rohdich F.:  Studies on the nonmevalonate pathway to terpenes: the role of the GcpE (IspG) protein.. Proc Natl Acad Sci U S A 2001, 98:14837-14842</t>
  </si>
  <si>
    <t>Heller KB, Lin EC, Wilson TH.:  Substrate specificity and transport properties of the glycerol facilitator of Escherichia coli.. J Bacteriol 1980, 144:274-278</t>
  </si>
  <si>
    <t>Hesslinger C, Fairhurst SA, Sawers G.:  Novel keto acid formate-lyase and propionate kinase enzymes are components of an anaerobic pathway in Escherichia coli that degrades L-threonine to propionate.. Mol Microbiol 1998, 27:477-492</t>
  </si>
  <si>
    <t>Hoeffler JF, Hemmerlin A, Grosdemange-Billiard C, Bach TJ, Rohmer M.:  Isoprenoid biosynthesis in higher plants and in Escherichia coli: on the branching in the methylerythritol phosphate pathway and the independent biosynthesis of isopentenyl diphosphate and dimethylallyl diphosphate.. Biochem J 2002, 366:573-583</t>
  </si>
  <si>
    <t>Hollenbach AD, Dickson KA, Washabaugh MW.:  Thiamine transport in Escherichia coli: the mechanism of inhibition by the sulfhydryl-specific modifier N-ethylmaleimide.. Biochim Biophys Acta 2002, 1564:421-428</t>
  </si>
  <si>
    <t>Horlacher R, Uhland K, Klein W, Ehrmann M, Boos W.:  Characterization of a cytoplasmic trehalase of Escherichia coli.. J Bacteriol 1996, 178:6250-6257</t>
  </si>
  <si>
    <t>Hubbard BK, Koch M, Palmer DR, Babbitt PC, Gerlt JA.:  Evolution of enzymatic activities in the enolase superfamily: characterization of the (D)-glucarate/galactarate catabolic pathway in Escherichia coli.. Biochemistry 1998, 37:14369-14375</t>
  </si>
  <si>
    <t>Jackowski S, Jackson PD, Rock CO:  Sequence and function of the aas gene in Escherichia coli. J Biol Chem 1994, 269:2921-2928</t>
  </si>
  <si>
    <t>Janausch IG, Zientz E, Tran QH, Kroger A, Unden G:  C4-dicarboxylate carriers and sensors in bacteria. Biochim Biophys Acta 2002, 1553:39-56</t>
  </si>
  <si>
    <t>Jung H, Buchholz M, Clausen J, Nietschke M, Revermann A, Schmid R, Jung K.:  CaiT of Escherichia coli, a new transporter catalyzing L-carnitine/gamma -butyrobetaine exchange.. J Biol Chem 2002, 277:39251-39258</t>
  </si>
  <si>
    <t>Kaasen I, McDougall J, Strom AR.:  Analysis of the otsBA operon for osmoregulatory trehalose synthesis in Escherichia coli and homology of the OtsA and OtsB proteins to the yeast trehalose-6-phosphate synthase/phosphatase complex.. Gene 1994, 145:9-15</t>
  </si>
  <si>
    <t>Kammler M, Schon C, Hantke K:  Characterization of the ferrous iron uptake system of Escherichia coli. J Bacteriol 1993, 175:6212-6219</t>
  </si>
  <si>
    <t>Karasawa K, Kudo I, Kobayashi T, Sa-Eki T, Inoue K, Nojima S.:  Purification and Characterization of Lysophospholipase L2 of Escherichia coli. J Biochem (Tokyo) 1985, 98:1117-1125</t>
  </si>
  <si>
    <t>Karp PD, Riley M, Saier M, Paulsen IT, Collado-Vides J, Paley SM, Pellegrini-Toole A, Bonavides C, Gama-Castro S:  The EcoCyc Database. Nucleic Acids Res 2002, 30:56-58</t>
  </si>
  <si>
    <t>Kashiwagi K, Shibuya S, Tomitori H, Kuraishi A, Igarashi K.:  Excretion and uptake of putrescine by the PotE protein in Escherichia coli.. J Biol Chem 1997, 272:6318-6323</t>
  </si>
  <si>
    <t>Kawai S, Mori S, Mukai T, Hashimoto W, Murata K:  Molecular characterization of Escherichia coli NAD kinase. European J. of Biochemistry 2001, 268:4359-4365</t>
  </si>
  <si>
    <t>Kim YM, Ogawa W, Tamai E, Kuroda T, Mizushima T, Tsuchiya T.:  Purification, reconstitution, and characterization of Na(+)/serine symporter, SstT, of Escherichia coli.. J Biochem 2002, 132:71-76</t>
  </si>
  <si>
    <t>Kloszewska, M.:  Biosynthesis of Bacterial Peptidoglycan. Acta Microbiologica Polonica 1996, 45:119-130</t>
  </si>
  <si>
    <t>Kneidinger B, Marolda C, Graninger M, Zamyatina A, McArthur F, Kosma P, Valvano MA, Messner P.:  Biosynthesis pathway of ADP-L-glycero-beta-D-manno-heptose in Escherichia coli.. J Bacteriol 2002, 184:363-369</t>
  </si>
  <si>
    <t>Lamark T, Kaasen I, Eshoo MW, Falkenberg P, McDougall J, Strom AR.:  DNA sequence and analysis of the bet genes encoding the osmoregulatory choline-glycine betaine pathway of Escherichia coli.. Mol Microbiol 1991, 5:1049-1064</t>
  </si>
  <si>
    <t>Larson TJ, van Loo-Bhattacharya AT:  Purification and characterization of glpQ-encoded glycerophosphodiester phosphodiesterase from Escherichia coli K-12.. Arch Biochem Biophys 1988, 260:577-584</t>
  </si>
  <si>
    <t>Lauhon CT, Kambampati R:  The iscS gene in Escherichia coli is required for the biosynthesis of 4-thiouridine, thiamin, and NAD. J Biol Chem 2000, 275:20096-20103</t>
  </si>
  <si>
    <t>Lawrence JG, Roth JR.:  The cobalamin (coenzyme B12) biosynthetic genes of Escherichia coli. The cobalamin (coenzyme B12) biosynthetic genes of Escherichia coli.. J Bacteriol 1995, 177:6371-6380</t>
  </si>
  <si>
    <t>Limon A, Hidalgo E, Aguilar J:  The aldA gene of Escherichia coli is under the control of at least three transcriptional regulators. Microbiology 1997, 146:2085-2095</t>
  </si>
  <si>
    <t>Lyngstadaas A, Lobner-Olesen A, Boye E.:  Characterization of three genes in the dam-containing operon of Escherichia coli.. Mol Gen Genet 1995, 247:546-554</t>
  </si>
  <si>
    <t>Matsuhisa A, Suzuki N, Noda T, Shiba K.:  Inositol monophosphatase activity from the Escherichia coli suhB gene product.. J Bacteriol 1995, 177:200-205</t>
  </si>
  <si>
    <t>Maynes JT, Yuan RG, Snyder FF.:  Identification, expression, and characterization of Escherichia coli guanine deaminase.. J Bacteriol 2000, 182:4658-4660</t>
  </si>
  <si>
    <t>Merlin,Christophe , Gregory Gardiner, Sylvain Durand, and Millicent Masters:  The Escherichia coli metD Locus Encodes an ABC Transporter Which Includes Abc (MetN), YaeE (MetI), and YaeC (MetQ). J Bacteriol 2002, 184:5513-5517</t>
  </si>
  <si>
    <t>Meyer E, Kappock TJ, Osuji C, Stubbe J.:  Evidence for the direct transfer of the carboxylate of N5-carboxyaminoimidazole ribonucleotide (N5-CAIR) to generate 4-carboxy-5-aminoimidazole ribonucleotide catalyzed by Escherichia coli PurE, an N5-CAIR mutase.. Biochemistry 1999, 38:3012-3018</t>
  </si>
  <si>
    <t>Nishijima M, Nakaike S, Tamori Y, Nojima S:  Detergent-resistant phospholipase A of Escherichia coli K-12. Purification and properties. Eur J Biochem 1977, 73:115-124</t>
  </si>
  <si>
    <t>Norholm MH, Dandanell G:  Specificity and topology of the Escherichia coli xanthosine permease, a representative of the NHS subfamily of the major facilitator superfamily. J Bacteriol 2001, 183:4900-4904</t>
  </si>
  <si>
    <t>Nunez MF, Kwon O, Wilson TH, Aguilar J, Baldoma L, Lin EC.:  Transport of L-Lactate, D-Lactate, and glycolate by the LldP and GlcA membrane carriers of Escherichia coli.. Biochem Biophys Res Commun 2002, 290:824-829</t>
  </si>
  <si>
    <t>Nunez MF, Pellicer MT, Badia J, Aguilar J, Baldoma L:  Biochemical characterization of the 2-ketoacid reductases encoded by ycdW and yiaE genes in Escherichia coli. Biochem J 2001, 354:707-715</t>
  </si>
  <si>
    <t>Ogawa H, Gomi T, Fujioka M.:  Serine hydroxymethyltransferase and threonine aldolase: are they identical?. Int J Biochem Cell Biol 2000, 32:289-301</t>
  </si>
  <si>
    <t>Ogawa W, Kim YM, Mizushima T, Tsuchiya T.:  Cloning and expression of the gene for the Na+-coupled serine transporter from Escherichia coli and characteristics of the transporter.. J Bacteriol 1998, 180:6749-6752</t>
  </si>
  <si>
    <t>Ollagnier-De-Choudens S, Mulliez E, Hewitson KS, Fontecave M.:  Biotin synthase is a pyridoxal phosphate-dependent cysteine desulfurase. Biochemistry 2002, 41:9145-9152</t>
  </si>
  <si>
    <t>Paulsen IT, Reizer J, Jin RZ, Lin EC, Saier MH Jr.:  Functional genomic studies of dihydroxyacetone utilization in Escherichia coli.. Microbiology 2000, 146:2343-4</t>
  </si>
  <si>
    <t>Pi J, Chow H, Pittard AJ.:  Study of second-site suppression in the pheP gene for the phenylalanine transporter of Escherichia coli.. J Bacteriol 2002, 184:5842-5847</t>
  </si>
  <si>
    <t>Pierson DE, Campbell A.:  Cloning and nucleotide sequence of bisC, the structural gene for biotin sulfoxide reductase in Escherichia coli.. J Bacteriol 1990, 172:2194-2198</t>
  </si>
  <si>
    <t>Plumbridge, J and E Vimr:  Convergent Pathways for Utilization of the Amino Sugars N-Acetylglucosamine, N-Acetylmannosamine, and N-Acetylneuraminic Acid by Escherichia coli. Journal of Bacteriology 1999, 181:47-54</t>
  </si>
  <si>
    <t>Pollock VV, Barber MJ.:  Biotin sulfoxide reductase. Heterologous expression and characterization of a functional molybdopterin guanine dinucleotide-containing enzyme.. J Biol Chem 1997, 272:3355-3362</t>
  </si>
  <si>
    <t>Poon WW, Barkovich RJ, Hsu AY, Frankel A, Lee PT, Shepherd JN, Myles DC, Clarke CF:  Yeast and rat Coq3 and Escherichia coli UbiG polypeptides catalyze both O-methyltransferase steps in coenzyme Q biosynthesis. J Biological Chemistry 1999, 274:21665-21672</t>
  </si>
  <si>
    <t>Pos KM, Dimroth P, Bott M.:  The Escherichia coli citrate carrier CitT: a member of a novel eubacterial transporter family related to the 2-oxoglutarate/malate translocator from spinach chloroplasts.. J Bacteriol 1998, 180:4160-4165</t>
  </si>
  <si>
    <t>Prasad I, Young B, Schaefler S.:  Genetic determination of the constitutive biosynthesis of phospho- -glucosidase A in Escherichia coli K-12. J Bacteriol  1973, 114:909-915</t>
  </si>
  <si>
    <t>Quentmeier A, Holzenburg A, Mayer F, Antranikian G.:  Reevaluation of citrate lyase from Escherichia coli.. Biochim Biophys Acta 1987, 913:60-65</t>
  </si>
  <si>
    <t>Rahman A, Barr K, Rick PD:  Identification of the structural gene for the TDP-Fuc4NAc:lipid II Fuc4NAc transferase involved in synthesis of enterobacterial common antigen in Escherichia coli K-12. J Bacteriol 2001, 183:6509-6516</t>
  </si>
  <si>
    <t>Ray WK, Zeng G, Potters MB, Mansuri AM, Larson TJ.:  Characterization of a 12-kilodalton rhodanese encoded by glpE of Escherichia coli and its interaction with thioredoxin.. J Bacteriol 2000, 182:2277-2284</t>
  </si>
  <si>
    <t>Reaney SK, Begg C, Bungard SJ, Guest JR.:  Identification of the L-tartrate dehydratase genes (ttdA and ttdB) of Escherichia coli and evolutionary relationship with the class I fumarase genes.. J Gen Microbiol 1993, 139:1523-1530</t>
  </si>
  <si>
    <t>Robbins JC, Oxender DL:  Transport systems for alanine, serine, and glycine in Escherichia coli K-12. J Bacteriology 1973, 116:12-18</t>
  </si>
  <si>
    <t>Rohdich F, Hecht S, Gartner K, Adam P, Krieger C, Amslinger S, Arigoni D, Bacher A, Eisenreich W:  Studies on the nonmevalonate terpene biosynthetic pathway: metabolic role of IspH (LytB) protein.. PNAS 2002, 99:1158-1163</t>
  </si>
  <si>
    <t>Ryle MJ, Padmakumar R, Hausinger RP.:  Stopped-flow kinetic analysis of Escherichia coli taurine/alpha-ketoglutarate dioxygenase: interactions with alpha-ketoglutarate, taurine, and oxygen.. Biochemistry 1999, 38:15278-15286</t>
  </si>
  <si>
    <t>Scandella CJ, Kornberg A:  A membrane-bound phospholipase A1 purified from Escherichia coli.. Biochemistry 1971, 10:4447-4456</t>
  </si>
  <si>
    <t>Schauder S, Shokat K, Surette MG, Bassler BL.:  The LuxS family of bacterial autoinducers: biosynthesis of a novel quorum-sensing signal molecule.. Mol Microbiol 2001, 41:463-476</t>
  </si>
  <si>
    <t>Schirch V, Hopkins S, Villar E, and Angelaccio S:  Serin Hydroxymethyltransferase from Escherichia coli: Purification and Properties. J Bacteriology 1985, 163:1-7</t>
  </si>
  <si>
    <t>Schneider BL, Kiupakis AK, Reitzer LJ.:  Arginine catabolism and the arginine succinyltransferase pathway in Escherichia coli.. J Bacteriol 1998, 180:4278-4286</t>
  </si>
  <si>
    <t>Schurmann M, Sprenger GA.:  Fructose-6-phosphate aldolase is a novel class I aldolase from Escherichia coli and is related to a novel group of bacterial transaldolases.. J Biol Chem 2001, 276:11055-11061</t>
  </si>
  <si>
    <t>Sekowska A, Danchin A:  The methionine salvage pathway in Bacillus subtilis. BMC Microbiol  2002, 2:-</t>
  </si>
  <si>
    <t>Sirko A, Zatyka M, Sadowy E, Hulanicka D.:  Sulfate and thiosulfate transport in Escherichia coli K-12: evidence for a functional overlapping of sulfate- and thiosulfate-binding proteins.. J Bacteriol 1995, 177:4134-4136</t>
  </si>
  <si>
    <t>Soupene E, Lee H, Kustu S.:  Ammonium/methylammonium transport (Amt) proteins facilitate diffusion of NH3 bidirectionally. Proc Natl Acad Sci U S A  2002, 99:3926-3931</t>
  </si>
  <si>
    <t>Stevenson G, Andrianopoulos K, Hobbs M, Reeves PR.:  Organization of the Escherichia coli K-12 gene cluster responsible for production of the extracellular polysaccharide colanic acid.. J Bacteriol 1996, 178:4885-4893</t>
  </si>
  <si>
    <t>Sung YC, Fuchs JA.:  Identification and characterization of a cyanate permease in Escherichia coli K-12.. J Bacteriol 1989, 171:4674-4678</t>
  </si>
  <si>
    <t>Textor S, Wendisch VF, De Graaf AA, Muller U, Linder MI, Linder D, Buckel W:  Propionate oxidation in Escherichia coli: evidence for operation of a methylcitrate cycle in bacteria. Arch Microbiol 1997, 168:428-436</t>
  </si>
  <si>
    <t>Thomson GJ, Howlett GJ, Ashcroft AE, Berry A.:  The dhnA gene of Escherichia coli encodes a class I fructose bisphosphate aldolase.. Biochem J 1998, 331:437-445</t>
  </si>
  <si>
    <t>Totemeyer S, Booth NA, Nichols WW, Dunbar B, Booth IR.:  From famine to feast: the role of methylglyoxal production in Escherichia coli.. Mol Microbiol 1998, 27:553-562</t>
  </si>
  <si>
    <t>Truniger V, Boos W.:  Mapping and cloning of gldA, the structural gene of the Escherichia coli glycerol dehydrogenase.. J Bacteriol 1994, 176:1796-1800</t>
  </si>
  <si>
    <t>Unden G, Bongaerts J.:  Alternative respiratory pathways of Escherichia coli: energetics and transcriptional regulation in response to electron acceptors.. Biochim Biophys Acta 1997, 1320:217-234</t>
  </si>
  <si>
    <t>van der Rest ME, Frank C, Molenaar D.:  Functions of the membrane-associated and cytoplasmic malate dehydrogenases in the citric acid cycle of Escherichia coli.. J Bacteriol 2000, 182:6892-6899</t>
  </si>
  <si>
    <t>Veres Z, Kim IY, Scholz TD, Stadtman TC.:  Selenophosphate synthetase. Enzyme properties and catalytic reaction.. J Biol Chem 1994, 269:10597-10603</t>
  </si>
  <si>
    <t>Walt A, Kahn ML.:  The fixA and fixB genes are necessary for anaerobic carnitine reduction in Escherichia coli.. J Bacteriol 2002, 184:4044-4047</t>
  </si>
  <si>
    <t>Wei J, Leyh TS:  Isomerization couples chemistry in the ATP sulfurylase-GTPase system. Biochemistry 1999, 38:6311-6316</t>
  </si>
  <si>
    <t>Winzer K, Hardie KR, Burgess N, Doherty N, Kirke D, Holden MT, Linforth R, Cornell KA, Taylor AJ, Hill PJ, Williams P.:  LuxS: its role in central metabolism and the in vitro synthesis of 4-hydroxy-5-methyl-3(2H)-furanone.. Microbiology 2002, 148:909-922</t>
  </si>
  <si>
    <t>Wungsintaweekul J, Herz S, Hecht S, Eisenreich W, Feicht R, Rohdich F, Bacher A, Zenk MH.:  Phosphorylation of 1-deoxy-D-xylulose by D-xylulokinase of Escherichia coli.. Eur J Biochem 2001, 268:310-316</t>
  </si>
  <si>
    <t>Wurgler SM, Richardson CC:  DNA binding properties of the deoxyguanosine triphosphate triphosphohydrolase of Escherichia coli. J Biol Chem 1993, 268:20046-20054</t>
  </si>
  <si>
    <t>Yang Y, Tsui HC, Man TK, Winkler ME.:  Identification and function of the pdxY gene, which encodes a novel pyridoxal kinase involved in the salvage pathway of pyridoxal 5'-phosphate biosynthesis in Escherichia coli K-12.. J Bacteriol 1998, 180:1814-1821</t>
  </si>
  <si>
    <t>Yanofsky C, Horn V, Gollnick P.:  Physiological studies of tryptophan transport and tryptophanase operon induction in Escherichia coli.. J Bacteriol 1991, 173:6009-6017</t>
  </si>
  <si>
    <t>Yew WS, Gerlt JA:  Utilization of L-ascorbate by Escherichia coli K-12: assignments of functions to products of the yjf-sga and yia-sgb operons. J Bacteriol 2002, 184:302-306</t>
  </si>
  <si>
    <t>Yum DY, Lee BY, Hahm DH, Pan JG:  The yiaE gene, located at 80.1 minutes on the Escherichia coli chromosome, encodes a 2-ketoaldonate reductase. J Bacteriol 1998, 180:5984-5988</t>
  </si>
  <si>
    <t>Yum DY, Lee BY, Pan JG:  Identification of the yqhE and yafB genes encoding two 2, 5-diketo-D-gluconate reductases in Escherichia coli. Appl Environ Microbiol 1999, 65:3341-3346</t>
  </si>
  <si>
    <t>Zhang J, Inouye M.:  MazG, a nucleoside triphosphate pyrophosphohydrolase, interacts with Era, an essential GTPase in Escherichia coli.. J Bacteriol 2002, 184:5323-5329</t>
  </si>
  <si>
    <t>Zhao G, Winkler ME:  Kinetic limitation and cellular amount of pyridoxine (pyridoxamine) 5'-phosphate oxidase of Escherichia coli K-12. J Bacteriol 1995, 177:883-891</t>
  </si>
  <si>
    <t>Zhu Y, Lin EC.:  L-1,2-propanediol exits more rapidly than L-lactaldehyde from Escherichia coli.. J Bacteriol 1989, 171:862-867</t>
  </si>
  <si>
    <t>Zientz E, Six S, Unden G.:  Identification of a third secondary carrier (DcuC) for anaerobic C4-dicarboxylate transport in Escherichia coli: roles of the three Dcu carriers in uptake and exchange.. J Bacteriol 1996, 178:7241-7247</t>
  </si>
  <si>
    <t>Books</t>
  </si>
  <si>
    <t>Bock,A. and G. Sawers:  Fermentation.  In Escherichia coli and Salmonella  Cellular and Molecular Biology. ASM Press; 1996</t>
  </si>
  <si>
    <t>C.R.H. Raetz:  Bacterial Lipopolysaccharides: a Remarkable Family of Bioactive Macroamphiphiles.  In Escherichia coli and Salmonella  Cellular and Molecular Biology. ASM Press; 1996</t>
  </si>
  <si>
    <t>Clark, DP and JE Cronan Jr:  C2 Compounds and Fatty Acids as Carbon Sources.  In Escherichia coli and Salmonella  Cellular and Molecular Biology. ASM Press; 1996</t>
  </si>
  <si>
    <t>Cronan, J.E. and C.O. Rock:  Biosynthesis of Membrane Lipids.  In Escherichia coli and Salmonella  Cellular and Molecular Biology. ASM Press; 1996</t>
  </si>
  <si>
    <t>E. McFall and E.B. Newman:  Amino Acids as Carbon Sources.  In Escherichia coli and Salmonella  Cellular and Molecular Biology. ASM Press; 1996</t>
  </si>
  <si>
    <t>E.C.C.Lin:  Dissimilatory Pathways for Sugars, Polyols, and Carboxylates.  In Escherichia coli and Salmonella  Cellular and Molecular Biology. ASM Press; 1996</t>
  </si>
  <si>
    <t>G.A. O'Toole, M.R. Rondon, J.R. Trzebiatowski, S.J. Suh and J.C. Escalante-Semerena:  Biosynthesis and Utilization of Adenosyl-Cobalamin (Coenzyme B12).  In Escherichia coli and Salmonella  Cellular and Molecular Biology. ASM Press; 1996</t>
  </si>
  <si>
    <t>M. E. Winkler:  Biosynthesis of Histidine.  In Escherichia coli and Salmonella  Cellular and Molecular Biology. ASM Press; 1996</t>
  </si>
  <si>
    <t>Maloney PC and TH Wilson:  Ion Coupled Transport and Transporters.  In Escherichia coli and Salmonella  Cellular and Molecular Biology. ASM Press; 1996</t>
  </si>
  <si>
    <t>Neidhardt, F.C., Ingraham, J.L., and Schaechter, M.:  .  In Physiology of the Bacterial Cell  A Molecular Approach. Sinauer Associates; 1990</t>
  </si>
  <si>
    <t>Penfound T and JW Foster:  Biosynthesis and Recycling of NAD.  In Escherichia coli and Salmonella  Cellular and Molecular Biology. ASM Press; 1996</t>
  </si>
  <si>
    <t>Pittard A.J.:  Biosynthesis of the Aromatic Amino Acids.  In Escherichia coli and Salmonella  Cellular and Molecular Biology. ASM Press; 1996</t>
  </si>
  <si>
    <t>Postma, P.W., Lengeler, J.W., and G.R. Jacobson: Phosphoenolpyruvate: Carbohydrate Phosphotransferase Systems. In Escherichia coli and Salmonella Cellular and Molecular Biology.ASM Press; 1996</t>
  </si>
  <si>
    <t>R.B. Gennis and V. Stewart:  Respiration.  In Escherichia coli and Salmonella  Cellular and Molecular Biology. ASM Press; 1996</t>
  </si>
  <si>
    <t>W. Boos and J.M. Lucht:  Periplasmic binding protein-dependent ABC transporters.  In Escherichia coli and Salmonella  Cellular and Molecular Biology. ASM Press; 1996</t>
  </si>
  <si>
    <t>Websites</t>
  </si>
  <si>
    <t>TC-DB Release 1.2 [ http://tcdb.ucsd.edu/tcdb/background.php]</t>
  </si>
  <si>
    <t>Ht</t>
  </si>
  <si>
    <t>bd (micro aero.)</t>
  </si>
  <si>
    <t>bo3 (aerob)</t>
  </si>
  <si>
    <t>(1.5) h{1}[c]  &lt;=&gt; (1.5) h{1}[e]</t>
  </si>
  <si>
    <t>NAD-1 and NAD-2 comb (3 + 0)/2</t>
  </si>
  <si>
    <t>http://ecocyc.org/ECOLI/NEW-IMAGE?type=ENZYME&amp;object=NAP-CPLX</t>
  </si>
  <si>
    <t>http://ecocyc.org/ECOLI/NEW-IMAGE?type=REACTION&amp;object=TRANS-RXN0-277</t>
  </si>
  <si>
    <t>h{1}[e] &lt;=&gt; h{1}[c]</t>
  </si>
  <si>
    <t xml:space="preserve">(2) atp[c] + (2) h2o[c] + xyl-D[e]  &lt;=&gt; (2) adp[c] + (2) pi[c] + xyl-D[c] </t>
  </si>
  <si>
    <t xml:space="preserve">ala-L[e] + (2) atp[c] + (2) h2o[c]  &lt;=&gt; (2) adp[c] + ala-L[c] + (2) pi[c] </t>
  </si>
  <si>
    <t>ATPHYD</t>
  </si>
  <si>
    <t>log</t>
  </si>
  <si>
    <t xml:space="preserve">renamed </t>
  </si>
  <si>
    <t xml:space="preserve">ATPM </t>
  </si>
  <si>
    <t xml:space="preserve">to </t>
  </si>
  <si>
    <t>changed</t>
  </si>
  <si>
    <t>Co2tot</t>
  </si>
  <si>
    <t>Hco3 insead of Co2</t>
  </si>
  <si>
    <t xml:space="preserve">accoa[c] + atp[c] + h2o[c] + co2tot[c]  &lt;=&gt; adp[c] + malcoa[c] + pi[c] + h2o[c] </t>
  </si>
  <si>
    <t xml:space="preserve">2obut[c] + pyr[c] + h2o[c]  &lt;=&gt; 2ahbut[c] + co2tot[c] </t>
  </si>
  <si>
    <t xml:space="preserve">(2) pyr[c] + h2o[c]  &lt;=&gt; alac-S[c] + co2tot[c] </t>
  </si>
  <si>
    <t xml:space="preserve">amet[c] + h2o[c]  &lt;=&gt; ametam[c] + co2tot[c] </t>
  </si>
  <si>
    <t xml:space="preserve">air[c] + atp[c] + co2tot[c] + h2o[c]  &lt;=&gt; 5caiz[c] + adp[c] + pi[c] + h2o[c] </t>
  </si>
  <si>
    <t xml:space="preserve">ala-L[c] + pmcoa[c] + h2o[c]  &lt;=&gt; 8aonn[c] + co2tot[c] + coa[c] </t>
  </si>
  <si>
    <t xml:space="preserve">asp-L[c] + h2o[c]  &lt;=&gt; ala-B[c] + co2tot[c] </t>
  </si>
  <si>
    <t xml:space="preserve">actACP[c] + (4) malACP[c] + (10) nadph[c]  &lt;=&gt; (4) ACP[c] + (4) co2tot[c] + ddcaACP[c] + h2o[c] + (10) nadp[c] </t>
  </si>
  <si>
    <t xml:space="preserve">actACP[c] + (5) malACP[c] + (12) nadph[c]  &lt;=&gt; (5) ACP[c] + (5) co2tot[c] + h2o[c] + myrsACP[c] + (12) nadp[c] </t>
  </si>
  <si>
    <t xml:space="preserve">actACP[c] + (5) malACP[c] + (11) nadph[c]  &lt;=&gt; (5) ACP[c] + (5) co2tot[c] + h2o[c] + (11) nadp[c] + tdeACP[c] </t>
  </si>
  <si>
    <t xml:space="preserve">actACP[c] + (6) malACP[c] + (14) nadph[c]  &lt;=&gt; (6) ACP[c] + (6) co2tot[c] + h2o[c] + (14) nadp[c] + palmACP[c] </t>
  </si>
  <si>
    <t xml:space="preserve">actACP[c] + (6) malACP[c] + (13) nadph[c]  &lt;=&gt; (6) ACP[c] + (6) co2tot[c] + h2o[c] + hdeACP[c] + (13) nadp[c] </t>
  </si>
  <si>
    <t xml:space="preserve">actACP[c] + (7) malACP[c] + (15) nadph[c]  &lt;=&gt; (7) ACP[c] + (7) co2tot[c] + h2o[c] + (15) nadp[c] + octeACP[c] </t>
  </si>
  <si>
    <t xml:space="preserve">atp[c] + co2tot[c] + nh3[c]  &lt;=&gt; adp[c] + cbp[c] + h2o[c] </t>
  </si>
  <si>
    <t>(2) atp[c] + gln-L[c] + h2o[c] + co2tot[c]  &lt;=&gt; (2) adp[c] + cbp[c] + glu-L[c] + pi[c]</t>
  </si>
  <si>
    <t xml:space="preserve">cpppg3[c] + o2[c]  &lt;=&gt; (2) co2tot[c] + pppg9[c] </t>
  </si>
  <si>
    <t xml:space="preserve">cynt[c] + (2) h2o[c]  &lt;=&gt; co2tot[c] + nh3[c] </t>
  </si>
  <si>
    <t xml:space="preserve">26dap-M[c] + h2o[c] &lt;=&gt; co2tot[c] + lys-L[c] </t>
  </si>
  <si>
    <t xml:space="preserve">atp[c] + co2tot[c] + dann[c]  &lt;=&gt; adp[c] + dtbt[c] + pi[c] + h2o[c] </t>
  </si>
  <si>
    <t xml:space="preserve">dhna[c] + octdp[c] + h2o[c]  &lt;=&gt; 2dmmq8[c] + co2tot[c] + ppi[c] </t>
  </si>
  <si>
    <t xml:space="preserve">g3p[c] + pyr[c] + h2o[c]  &lt;=&gt; co2tot[c] + dxyl5p[c] </t>
  </si>
  <si>
    <t xml:space="preserve">for[c] + h2o[c]  &lt;=&gt; co2tot[c] + h2[c] </t>
  </si>
  <si>
    <t xml:space="preserve">glu-L[c] + h2o[c]  &lt;=&gt; 4abut[c] + co2tot[c] </t>
  </si>
  <si>
    <t xml:space="preserve">(2) glx[c] + h2o[c]  &lt;=&gt; 2h3oppan[c] + co2tot[c] </t>
  </si>
  <si>
    <t xml:space="preserve">gly[c] + nad[c] + thf[c] + h2o[c]  &lt;=&gt; co2tot[c] + mlthf[c] + nadh[c] + nh3[c] </t>
  </si>
  <si>
    <t xml:space="preserve">6pgc[c] + nadp[c] + h2o[c]  &lt;=&gt; co2tot[c] + nadph[c] + ru5p-D[c] </t>
  </si>
  <si>
    <t xml:space="preserve">icit[c] + nadp[c] + h2o[c]  &lt;=&gt; akg[c] + co2tot[c] + nadph[c] </t>
  </si>
  <si>
    <t xml:space="preserve">2cpr5p[c]  &lt;=&gt; 3ig3p[c] + co2tot[c] </t>
  </si>
  <si>
    <t xml:space="preserve">acACP[c] + malACP[c] + h2o[c]  &lt;=&gt; ACP[c] + actACP[c] + co2tot[c] </t>
  </si>
  <si>
    <t xml:space="preserve">accoa[c] + malACP[c] + h2o[c]  &lt;=&gt; actACP[c] + co2tot[c] + coa[c] </t>
  </si>
  <si>
    <t xml:space="preserve">ddcaACP[c] + malACP[c] + nadph[c] + h2o[c]  &lt;=&gt; 3hmrsACP[c] + ACP[c] + co2tot[c] + nadp[c] </t>
  </si>
  <si>
    <t xml:space="preserve">3dhgulnp[c] + h2o[c]  &lt;=&gt; co2tot[c] + xu5p-L[c] </t>
  </si>
  <si>
    <t xml:space="preserve">lys-L[c] + h2o[c]  &lt;=&gt; 15dap[c] + co2tot[c] </t>
  </si>
  <si>
    <t xml:space="preserve">malACP[c] + h2o[c]  &lt;=&gt; acACP[c] + co2tot[c] </t>
  </si>
  <si>
    <t xml:space="preserve">mal-L[c] + nad[c] + h2o[c]  &lt;=&gt; co2tot[c] + nadh[c] + pyr[c] </t>
  </si>
  <si>
    <t xml:space="preserve">mal-L[c] + nadp[c] + h2o[c]  &lt;=&gt; co2tot[c] + nadph[c] + pyr[c] </t>
  </si>
  <si>
    <t xml:space="preserve">mmcoa-S[c] + h2o[c]  &lt;=&gt; co2tot[c] + ppcoa[c] </t>
  </si>
  <si>
    <t xml:space="preserve">prpp[c] + quln[c] + h2o[c]  &lt;=&gt; co2tot[c] + nicrnt[c] + ppi[c] </t>
  </si>
  <si>
    <t xml:space="preserve">3c4mop[c] + h2o[c]  &lt;=&gt; 4mop[c] + co2tot[c] </t>
  </si>
  <si>
    <t xml:space="preserve">orot5p[c] + h2o[c]  &lt;=&gt; co2tot[c] + ump[c] </t>
  </si>
  <si>
    <t xml:space="preserve">3ophb[c] + h2o[c]  &lt;=&gt; 2oph[c] + co2tot[c] </t>
  </si>
  <si>
    <t xml:space="preserve">orn[c] + h2o[c]  &lt;=&gt; co2tot[c] + ptrc[c] </t>
  </si>
  <si>
    <t xml:space="preserve">akg[c] + thmpp[c] + h2o[c]  &lt;=&gt; co2tot[c] + ssaltpp[c] </t>
  </si>
  <si>
    <t xml:space="preserve">coa[c] + nad[c] + pyr[c] + h2o[c]  &lt;=&gt; accoa[c] + co2tot[c] + nadh[c] </t>
  </si>
  <si>
    <t xml:space="preserve">dxyl5p[c] + nad[c] + phthr[c]  &lt;=&gt; co2tot[c] + h2o[c] + nadh[c] + pdx5p[c] + pi[c] </t>
  </si>
  <si>
    <t xml:space="preserve">h2o[c] + pyr[c] + q8[c] + h2o[c]  &lt;=&gt; ac[c] + co2tot[c] + q8h2[c] </t>
  </si>
  <si>
    <t xml:space="preserve">co2tot[c] + pep[c]  &lt;=&gt; oaa[c] + pi[c] </t>
  </si>
  <si>
    <t xml:space="preserve">4ppcys[c] + h2o[c]  &lt;=&gt; co2tot[c] + pan4p[c] </t>
  </si>
  <si>
    <t xml:space="preserve">atp[c] + oaa[c] + h2o[c]  &lt;=&gt; adp[c] + co2tot[c] + pep[c] </t>
  </si>
  <si>
    <t xml:space="preserve">nad[c] + pphn[c] + h2o[c]  &lt;=&gt; 34hpp[c] + co2tot[c] + nadh[c] </t>
  </si>
  <si>
    <t xml:space="preserve">pphn[c]  &lt;=&gt; co2tot[c] + phpyr[c] </t>
  </si>
  <si>
    <t xml:space="preserve">(0.02) psEC[c] + h2o[c]  &lt;=&gt; co2tot[c] + (0.02) peEC[c] </t>
  </si>
  <si>
    <t xml:space="preserve">(3) h2o[c] + sucarg[c]  &lt;=&gt; co2tot[c] + (2) nh3[c] + sucorn[c] </t>
  </si>
  <si>
    <t xml:space="preserve">akg[c] + o2[c] + taur[c] + h2o[c]  &lt;=&gt; aacald[c] + co2tot[c] + so3[c] + succ[c] </t>
  </si>
  <si>
    <t xml:space="preserve">akg[c] + coa[c] + nad[c] + h2o[c]  &lt;=&gt; co2tot[c] + nadh[c] + succoa[c] </t>
  </si>
  <si>
    <t xml:space="preserve">atp[c] + cys-L[c] + dxyl5p[c] + tyr-L[c]  &lt;=&gt; 4hba[c] + 4mpetz[c] + ala-L[c] + amp[c] + co2tot[c] + ppi[c] </t>
  </si>
  <si>
    <t xml:space="preserve">(2) h2o[c] + urdglyc[c]  &lt;=&gt; co2tot[c] + glx[c] + (2) nh3[c] </t>
  </si>
  <si>
    <t xml:space="preserve">uppg3[c] + (4) h2o[c]  &lt;=&gt; (4) co2tot[c] + cpppg3[c] </t>
  </si>
  <si>
    <t>q8[c] + for[e] + h2o[c]  &lt;=&gt; q8h2[c] + co2tot[e]</t>
  </si>
  <si>
    <t>for[e] + q8[c] + h2o[c]  &lt;=&gt; co2tot[e] + q8h2[c]</t>
  </si>
  <si>
    <t>mqn8[c] + for[e] + h2o[c]  &lt;=&gt; mql8[c] + co2tot[e]</t>
  </si>
  <si>
    <t>for[e] + mqn8[c] + h2o[c]  &lt;=&gt; co2tot[e] + mql8[c]</t>
  </si>
  <si>
    <t>C00288</t>
  </si>
  <si>
    <t>HCO3</t>
  </si>
  <si>
    <t xml:space="preserve">co2tot{-1}[e] + h{1}[e] &lt;=&gt; co2tot{-1}[c] + h{1}[c] </t>
  </si>
  <si>
    <t xml:space="preserve">arg-L[c] + h2o[c] &lt;=&gt; agm[c] + co2tot[c] </t>
  </si>
  <si>
    <t>from Lange and Heijnen 2001; cellular density of 26.4 (cmol/gDW)</t>
  </si>
  <si>
    <t>fom Battley 1991; dfGbm = -71.075 (KJ/cmol)</t>
  </si>
  <si>
    <t>lumped</t>
  </si>
  <si>
    <t>to</t>
  </si>
  <si>
    <t>SUCD</t>
  </si>
  <si>
    <t xml:space="preserve">q8[c] + succ[c]  &lt;=&gt; q8h2[c] + fum[c] </t>
  </si>
  <si>
    <t>(0.05) 5mthf[c] + (0.00005) accoa[c] + (0.488) ala-L[c] + (0.0010) amp[c] + (0.281) arg-L[c] + (0.229) asn-L[c] + (0.229) asp-L[c] + (0.1852) atp[c] + (0.000129) clpnEC[c] + (0.000006) coa[c] + (0.126) ctp[c] + (0.087) cys-L[c] + (0.0247) datp[c] + (0.0254) dctp[c] + (0.0254) dgtp[c] + (0.0247) dttp[c] + (0.00001) fad[c] + (0.25) gln-L[c] + (0.25) glu-L[c] + (0.582) gly[c] + (0.154) glycogen[c] + (0.203) gtp[c] + (0.09) his-L[c] + (0.276) ile-L[c] + (0.428) leu-L[c] + (0.0084) lpsEC[c] + (0.326) lys-L[c] + (0.146) met-L[c] + (0.00215) nad[c] + (0.00005) nadh[c] + (0.00013) nadp[c] + (0.0004) nadph[c] + (0.001935) peEC[c] + (0.0276) peptidoEC[c] + (0.000464) pgEC[c] + (0.176) phe-L[c] + (0.21) pro-L[c] + (0.000052) psEC[c] + (0.035) ptrc[c] + (0.205) ser-L[c] + (0.0070) spmd[c] + (0.000003) succoa[c] + (0.241) thr-L[c] + (0.054) trp-L[c] + (0.131) tyr-L[c] + (0.0030) udpg[c] + (0.136) utp[c] + (0.402) val-L[c] &lt;=&gt; (0.002) pi[c] + (0.7302) ppi[c]</t>
  </si>
  <si>
    <t>Reaction</t>
  </si>
  <si>
    <t>Abbrevation</t>
  </si>
  <si>
    <t>Transmembrane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</si>
</sst>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 tint="-0.34998626667073579"/>
      <name val="Arial"/>
      <family val="2"/>
    </font>
    <font>
      <sz val="11"/>
      <color theme="0" tint="-0.34998626667073579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color theme="0" tint="-0.249977111117893"/>
      <name val="Tahoma"/>
      <family val="2"/>
    </font>
    <font>
      <sz val="11"/>
      <name val="Calibri"/>
      <family val="2"/>
      <scheme val="minor"/>
    </font>
    <font>
      <sz val="10"/>
      <color indexed="8"/>
      <name val="Tahoma"/>
      <family val="2"/>
    </font>
    <font>
      <b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2" fillId="0" borderId="1" xfId="0" applyFont="1" applyBorder="1"/>
    <xf numFmtId="0" fontId="0" fillId="0" borderId="2" xfId="0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2" xfId="0" applyFont="1" applyBorder="1"/>
    <xf numFmtId="0" fontId="11" fillId="0" borderId="0" xfId="0" applyFont="1"/>
    <xf numFmtId="0" fontId="11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/>
    <xf numFmtId="0" fontId="14" fillId="0" borderId="2" xfId="0" applyFont="1" applyBorder="1"/>
    <xf numFmtId="0" fontId="15" fillId="0" borderId="0" xfId="0" applyFont="1" applyAlignment="1">
      <alignment vertical="top"/>
    </xf>
    <xf numFmtId="0" fontId="12" fillId="0" borderId="6" xfId="0" applyFont="1" applyBorder="1"/>
    <xf numFmtId="0" fontId="11" fillId="0" borderId="6" xfId="0" applyFont="1" applyBorder="1"/>
    <xf numFmtId="0" fontId="0" fillId="0" borderId="6" xfId="0" applyBorder="1"/>
    <xf numFmtId="0" fontId="16" fillId="0" borderId="0" xfId="0" applyFont="1"/>
    <xf numFmtId="0" fontId="3" fillId="0" borderId="0" xfId="0" applyFont="1"/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7" fillId="0" borderId="7" xfId="0" applyFont="1" applyBorder="1"/>
    <xf numFmtId="0" fontId="17" fillId="0" borderId="7" xfId="0" applyFont="1" applyBorder="1"/>
    <xf numFmtId="0" fontId="0" fillId="0" borderId="7" xfId="0" applyBorder="1"/>
    <xf numFmtId="0" fontId="16" fillId="0" borderId="7" xfId="0" applyFont="1" applyBorder="1"/>
    <xf numFmtId="0" fontId="7" fillId="0" borderId="0" xfId="0" applyFont="1" applyAlignment="1">
      <alignment horizontal="left"/>
    </xf>
    <xf numFmtId="0" fontId="17" fillId="0" borderId="0" xfId="0" applyFont="1"/>
    <xf numFmtId="0" fontId="9" fillId="0" borderId="0" xfId="0" applyFont="1" applyAlignment="1">
      <alignment horizontal="left" vertical="center"/>
    </xf>
    <xf numFmtId="0" fontId="18" fillId="0" borderId="0" xfId="0" applyFont="1"/>
    <xf numFmtId="0" fontId="18" fillId="0" borderId="2" xfId="0" applyFont="1" applyBorder="1"/>
    <xf numFmtId="0" fontId="19" fillId="0" borderId="0" xfId="0" applyFont="1"/>
    <xf numFmtId="0" fontId="19" fillId="0" borderId="2" xfId="0" applyFont="1" applyBorder="1"/>
    <xf numFmtId="0" fontId="20" fillId="0" borderId="0" xfId="0" applyFont="1"/>
    <xf numFmtId="0" fontId="20" fillId="0" borderId="2" xfId="0" applyFont="1" applyBorder="1"/>
    <xf numFmtId="0" fontId="21" fillId="0" borderId="0" xfId="0" applyFont="1" applyAlignment="1">
      <alignment horizontal="left" vertical="center"/>
    </xf>
    <xf numFmtId="0" fontId="22" fillId="0" borderId="8" xfId="0" applyFont="1" applyBorder="1"/>
    <xf numFmtId="0" fontId="22" fillId="0" borderId="7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H27"/>
  <sheetViews>
    <sheetView tabSelected="1" workbookViewId="0">
      <selection activeCell="B11" sqref="B11"/>
    </sheetView>
  </sheetViews>
  <sheetFormatPr defaultRowHeight="15" x14ac:dyDescent="0.25"/>
  <cols>
    <col min="1" max="1" width="33.42578125" bestFit="1" customWidth="1"/>
    <col min="2" max="2" width="15.28515625" bestFit="1" customWidth="1"/>
    <col min="3" max="3" width="10" bestFit="1" customWidth="1"/>
  </cols>
  <sheetData>
    <row r="1" spans="1:8" ht="15.75" thickBot="1" x14ac:dyDescent="0.3">
      <c r="A1" s="8" t="s">
        <v>5250</v>
      </c>
    </row>
    <row r="3" spans="1:8" x14ac:dyDescent="0.25">
      <c r="A3" s="4" t="s">
        <v>5251</v>
      </c>
      <c r="B3" s="9">
        <v>310.14999999999998</v>
      </c>
    </row>
    <row r="4" spans="1:8" ht="18.75" x14ac:dyDescent="0.35">
      <c r="A4" s="4" t="s">
        <v>5252</v>
      </c>
      <c r="B4" s="9">
        <v>74</v>
      </c>
      <c r="D4" t="s">
        <v>5253</v>
      </c>
    </row>
    <row r="5" spans="1:8" ht="18.75" x14ac:dyDescent="0.35">
      <c r="A5" s="4" t="s">
        <v>5254</v>
      </c>
      <c r="B5" s="26">
        <f>-71.075/26.4</f>
        <v>-2.6922348484848486</v>
      </c>
      <c r="D5" t="s">
        <v>6925</v>
      </c>
      <c r="H5" t="s">
        <v>6924</v>
      </c>
    </row>
    <row r="7" spans="1:8" x14ac:dyDescent="0.25">
      <c r="B7" s="11" t="s">
        <v>5255</v>
      </c>
      <c r="C7" s="12" t="s">
        <v>5256</v>
      </c>
    </row>
    <row r="8" spans="1:8" x14ac:dyDescent="0.25">
      <c r="A8" s="4" t="s">
        <v>0</v>
      </c>
      <c r="B8" s="13">
        <v>7</v>
      </c>
      <c r="C8" s="9">
        <v>7.6</v>
      </c>
    </row>
    <row r="9" spans="1:8" x14ac:dyDescent="0.25">
      <c r="A9" s="4" t="s">
        <v>1</v>
      </c>
      <c r="B9" s="13">
        <v>0.2</v>
      </c>
      <c r="C9" s="9">
        <v>0.15</v>
      </c>
    </row>
    <row r="11" spans="1:8" x14ac:dyDescent="0.25">
      <c r="B11" s="4" t="s">
        <v>3849</v>
      </c>
    </row>
    <row r="12" spans="1:8" x14ac:dyDescent="0.25">
      <c r="A12" s="4" t="s">
        <v>5257</v>
      </c>
      <c r="B12">
        <v>-0.15</v>
      </c>
    </row>
    <row r="14" spans="1:8" ht="15.75" thickBot="1" x14ac:dyDescent="0.3"/>
    <row r="15" spans="1:8" ht="15.75" thickBot="1" x14ac:dyDescent="0.3">
      <c r="A15" s="8" t="s">
        <v>5258</v>
      </c>
    </row>
    <row r="16" spans="1:8" x14ac:dyDescent="0.25">
      <c r="A16" s="4"/>
    </row>
    <row r="17" spans="1:5" x14ac:dyDescent="0.25">
      <c r="B17" s="51" t="s">
        <v>5255</v>
      </c>
      <c r="C17" s="51"/>
      <c r="D17" s="52" t="s">
        <v>5256</v>
      </c>
      <c r="E17" s="51"/>
    </row>
    <row r="18" spans="1:5" x14ac:dyDescent="0.25">
      <c r="B18" s="14" t="s">
        <v>2</v>
      </c>
      <c r="C18" s="14" t="s">
        <v>3</v>
      </c>
      <c r="D18" s="12" t="s">
        <v>2</v>
      </c>
      <c r="E18" s="14" t="s">
        <v>3</v>
      </c>
    </row>
    <row r="19" spans="1:5" x14ac:dyDescent="0.25">
      <c r="A19" s="4" t="s">
        <v>5259</v>
      </c>
      <c r="B19" s="9">
        <v>1E-4</v>
      </c>
      <c r="C19">
        <v>1</v>
      </c>
      <c r="D19" s="9">
        <v>1E-4</v>
      </c>
      <c r="E19">
        <v>1</v>
      </c>
    </row>
    <row r="20" spans="1:5" ht="18.75" x14ac:dyDescent="0.35">
      <c r="A20" s="4" t="s">
        <v>5260</v>
      </c>
      <c r="B20" s="9">
        <v>0</v>
      </c>
      <c r="C20">
        <v>10</v>
      </c>
    </row>
    <row r="21" spans="1:5" ht="15.75" thickBot="1" x14ac:dyDescent="0.3"/>
    <row r="22" spans="1:5" ht="15.75" thickBot="1" x14ac:dyDescent="0.3">
      <c r="A22" s="8" t="s">
        <v>5261</v>
      </c>
    </row>
    <row r="24" spans="1:5" ht="17.25" x14ac:dyDescent="0.25">
      <c r="A24" s="4" t="s">
        <v>5262</v>
      </c>
      <c r="B24" s="9">
        <v>8.3140000000000002E-3</v>
      </c>
    </row>
    <row r="25" spans="1:5" ht="17.25" x14ac:dyDescent="0.25">
      <c r="A25" s="4" t="s">
        <v>5263</v>
      </c>
      <c r="B25" s="9">
        <v>96.49</v>
      </c>
    </row>
    <row r="26" spans="1:5" ht="17.25" x14ac:dyDescent="0.25">
      <c r="A26" s="4" t="s">
        <v>5264</v>
      </c>
      <c r="B26" s="9">
        <v>1.2010000000000001</v>
      </c>
    </row>
    <row r="27" spans="1:5" ht="17.25" x14ac:dyDescent="0.25">
      <c r="A27" s="4" t="s">
        <v>5265</v>
      </c>
      <c r="B27" s="9">
        <v>1.6</v>
      </c>
    </row>
  </sheetData>
  <mergeCells count="2">
    <mergeCell ref="B17:C17"/>
    <mergeCell ref="D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F145"/>
  <sheetViews>
    <sheetView workbookViewId="0">
      <pane ySplit="1" topLeftCell="A119" activePane="bottomLeft" state="frozen"/>
      <selection pane="bottomLeft" activeCell="B123" sqref="B123"/>
    </sheetView>
  </sheetViews>
  <sheetFormatPr defaultRowHeight="15" x14ac:dyDescent="0.25"/>
  <cols>
    <col min="1" max="1" width="12.5703125" style="25" bestFit="1" customWidth="1"/>
    <col min="2" max="2" width="12.5703125" style="26" bestFit="1" customWidth="1"/>
    <col min="3" max="3" width="12.7109375" style="25" bestFit="1" customWidth="1"/>
    <col min="4" max="4" width="15.7109375" style="26" bestFit="1" customWidth="1"/>
    <col min="6" max="6" width="40.42578125" style="5" bestFit="1" customWidth="1"/>
  </cols>
  <sheetData>
    <row r="1" spans="1:6" s="37" customFormat="1" ht="15.75" thickBot="1" x14ac:dyDescent="0.3">
      <c r="A1" s="50" t="s">
        <v>6932</v>
      </c>
      <c r="B1" s="16" t="s">
        <v>5</v>
      </c>
      <c r="C1" s="15" t="s">
        <v>6</v>
      </c>
      <c r="D1" s="49" t="s">
        <v>6931</v>
      </c>
      <c r="F1" s="38" t="s">
        <v>6421</v>
      </c>
    </row>
    <row r="2" spans="1:6" x14ac:dyDescent="0.25">
      <c r="A2" s="25" t="s">
        <v>1392</v>
      </c>
      <c r="B2" s="26">
        <v>0</v>
      </c>
      <c r="C2" s="25">
        <v>0</v>
      </c>
      <c r="D2" s="26" t="s">
        <v>1393</v>
      </c>
    </row>
    <row r="3" spans="1:6" x14ac:dyDescent="0.25">
      <c r="A3" s="25" t="s">
        <v>1394</v>
      </c>
      <c r="B3" s="26">
        <v>0</v>
      </c>
      <c r="C3" s="25">
        <v>0</v>
      </c>
      <c r="D3" s="26" t="s">
        <v>1395</v>
      </c>
    </row>
    <row r="4" spans="1:6" x14ac:dyDescent="0.25">
      <c r="A4" s="25" t="s">
        <v>1396</v>
      </c>
      <c r="B4" s="26">
        <v>0</v>
      </c>
      <c r="C4" s="25">
        <v>0</v>
      </c>
      <c r="D4" s="26" t="s">
        <v>1397</v>
      </c>
    </row>
    <row r="5" spans="1:6" x14ac:dyDescent="0.25">
      <c r="A5" s="25" t="s">
        <v>1398</v>
      </c>
      <c r="B5" s="26">
        <v>0</v>
      </c>
      <c r="C5" s="25">
        <v>0</v>
      </c>
      <c r="D5" s="26" t="s">
        <v>1399</v>
      </c>
    </row>
    <row r="6" spans="1:6" x14ac:dyDescent="0.25">
      <c r="A6" s="25" t="s">
        <v>1400</v>
      </c>
      <c r="B6" s="26">
        <v>0</v>
      </c>
      <c r="C6" s="25">
        <v>0</v>
      </c>
      <c r="D6" s="26" t="s">
        <v>1401</v>
      </c>
    </row>
    <row r="7" spans="1:6" x14ac:dyDescent="0.25">
      <c r="A7" s="25" t="s">
        <v>1402</v>
      </c>
      <c r="B7" s="26">
        <v>0</v>
      </c>
      <c r="C7" s="25">
        <v>0</v>
      </c>
      <c r="D7" s="26" t="s">
        <v>1403</v>
      </c>
    </row>
    <row r="8" spans="1:6" x14ac:dyDescent="0.25">
      <c r="A8" s="25" t="s">
        <v>1404</v>
      </c>
      <c r="B8" s="26">
        <v>0</v>
      </c>
      <c r="C8" s="25">
        <v>0</v>
      </c>
      <c r="D8" s="26" t="s">
        <v>1405</v>
      </c>
    </row>
    <row r="9" spans="1:6" x14ac:dyDescent="0.25">
      <c r="A9" s="25" t="s">
        <v>1406</v>
      </c>
      <c r="B9" s="26">
        <v>-150</v>
      </c>
      <c r="C9" s="25">
        <v>150</v>
      </c>
      <c r="D9" s="26" t="s">
        <v>1407</v>
      </c>
      <c r="F9" s="5" t="s">
        <v>6420</v>
      </c>
    </row>
    <row r="10" spans="1:6" x14ac:dyDescent="0.25">
      <c r="A10" s="25" t="s">
        <v>1408</v>
      </c>
      <c r="B10" s="26">
        <v>0</v>
      </c>
      <c r="C10" s="25">
        <v>0</v>
      </c>
      <c r="D10" s="26" t="s">
        <v>1409</v>
      </c>
    </row>
    <row r="11" spans="1:6" x14ac:dyDescent="0.25">
      <c r="A11" s="25" t="s">
        <v>1410</v>
      </c>
      <c r="B11" s="26">
        <v>0</v>
      </c>
      <c r="C11" s="25">
        <v>0</v>
      </c>
      <c r="D11" s="26" t="s">
        <v>1411</v>
      </c>
    </row>
    <row r="12" spans="1:6" x14ac:dyDescent="0.25">
      <c r="A12" s="25" t="s">
        <v>1412</v>
      </c>
      <c r="B12" s="26">
        <v>0</v>
      </c>
      <c r="C12" s="25">
        <v>0</v>
      </c>
      <c r="D12" s="26" t="s">
        <v>1413</v>
      </c>
    </row>
    <row r="13" spans="1:6" x14ac:dyDescent="0.25">
      <c r="A13" s="25" t="s">
        <v>1414</v>
      </c>
      <c r="B13" s="26">
        <v>0</v>
      </c>
      <c r="C13" s="25">
        <v>0</v>
      </c>
      <c r="D13" s="26" t="s">
        <v>1415</v>
      </c>
    </row>
    <row r="14" spans="1:6" x14ac:dyDescent="0.25">
      <c r="A14" s="25" t="s">
        <v>1416</v>
      </c>
      <c r="B14" s="26">
        <v>0</v>
      </c>
      <c r="C14" s="25">
        <v>0</v>
      </c>
      <c r="D14" s="26" t="s">
        <v>1417</v>
      </c>
    </row>
    <row r="15" spans="1:6" x14ac:dyDescent="0.25">
      <c r="A15" s="25" t="s">
        <v>1418</v>
      </c>
      <c r="B15" s="26">
        <v>0</v>
      </c>
      <c r="C15" s="25">
        <v>0</v>
      </c>
      <c r="D15" s="26" t="s">
        <v>1419</v>
      </c>
    </row>
    <row r="16" spans="1:6" x14ac:dyDescent="0.25">
      <c r="A16" s="25" t="s">
        <v>1420</v>
      </c>
      <c r="B16" s="26">
        <v>0</v>
      </c>
      <c r="C16" s="25">
        <v>0</v>
      </c>
      <c r="D16" s="26" t="s">
        <v>1421</v>
      </c>
    </row>
    <row r="17" spans="1:4" x14ac:dyDescent="0.25">
      <c r="A17" s="25" t="s">
        <v>1422</v>
      </c>
      <c r="B17" s="26">
        <v>0</v>
      </c>
      <c r="C17" s="25">
        <v>0</v>
      </c>
      <c r="D17" s="26" t="s">
        <v>1423</v>
      </c>
    </row>
    <row r="18" spans="1:4" x14ac:dyDescent="0.25">
      <c r="A18" s="25" t="s">
        <v>1424</v>
      </c>
      <c r="B18" s="26">
        <v>0</v>
      </c>
      <c r="C18" s="25">
        <v>0</v>
      </c>
      <c r="D18" s="26" t="s">
        <v>1425</v>
      </c>
    </row>
    <row r="19" spans="1:4" x14ac:dyDescent="0.25">
      <c r="A19" s="25" t="s">
        <v>1426</v>
      </c>
      <c r="B19" s="26">
        <v>0</v>
      </c>
      <c r="C19" s="25">
        <v>0</v>
      </c>
      <c r="D19" s="26" t="s">
        <v>1427</v>
      </c>
    </row>
    <row r="20" spans="1:4" x14ac:dyDescent="0.25">
      <c r="A20" s="25" t="s">
        <v>1428</v>
      </c>
      <c r="B20" s="26">
        <v>0</v>
      </c>
      <c r="C20" s="25">
        <v>0</v>
      </c>
      <c r="D20" s="26" t="s">
        <v>1429</v>
      </c>
    </row>
    <row r="21" spans="1:4" x14ac:dyDescent="0.25">
      <c r="A21" s="25" t="s">
        <v>1430</v>
      </c>
      <c r="B21" s="26">
        <v>0</v>
      </c>
      <c r="C21" s="25">
        <v>0</v>
      </c>
      <c r="D21" s="26" t="s">
        <v>1431</v>
      </c>
    </row>
    <row r="22" spans="1:4" x14ac:dyDescent="0.25">
      <c r="A22" s="25" t="s">
        <v>1432</v>
      </c>
      <c r="B22" s="26">
        <v>0</v>
      </c>
      <c r="C22" s="25">
        <v>0</v>
      </c>
      <c r="D22" s="26" t="s">
        <v>1433</v>
      </c>
    </row>
    <row r="23" spans="1:4" x14ac:dyDescent="0.25">
      <c r="A23" s="25" t="s">
        <v>1434</v>
      </c>
      <c r="B23" s="26">
        <v>0</v>
      </c>
      <c r="C23" s="25">
        <v>0</v>
      </c>
      <c r="D23" s="26" t="s">
        <v>1435</v>
      </c>
    </row>
    <row r="24" spans="1:4" x14ac:dyDescent="0.25">
      <c r="A24" s="25" t="s">
        <v>1436</v>
      </c>
      <c r="B24" s="26">
        <v>0</v>
      </c>
      <c r="C24" s="25">
        <v>0</v>
      </c>
      <c r="D24" s="26" t="s">
        <v>1437</v>
      </c>
    </row>
    <row r="25" spans="1:4" x14ac:dyDescent="0.25">
      <c r="A25" s="25" t="s">
        <v>1438</v>
      </c>
      <c r="B25" s="26">
        <v>0</v>
      </c>
      <c r="C25" s="25">
        <v>0</v>
      </c>
      <c r="D25" s="26" t="s">
        <v>1439</v>
      </c>
    </row>
    <row r="26" spans="1:4" x14ac:dyDescent="0.25">
      <c r="A26" s="25" t="s">
        <v>1440</v>
      </c>
      <c r="B26" s="26">
        <v>0</v>
      </c>
      <c r="C26" s="25">
        <v>0</v>
      </c>
      <c r="D26" s="26" t="s">
        <v>1441</v>
      </c>
    </row>
    <row r="27" spans="1:4" x14ac:dyDescent="0.25">
      <c r="A27" s="25" t="s">
        <v>1676</v>
      </c>
      <c r="B27" s="26">
        <v>-150</v>
      </c>
      <c r="C27" s="25">
        <v>150</v>
      </c>
      <c r="D27" s="26" t="s">
        <v>1677</v>
      </c>
    </row>
    <row r="28" spans="1:4" x14ac:dyDescent="0.25">
      <c r="A28" s="25" t="s">
        <v>1442</v>
      </c>
      <c r="B28" s="26">
        <v>-0.01</v>
      </c>
      <c r="C28" s="25">
        <v>150</v>
      </c>
      <c r="D28" s="26" t="s">
        <v>1443</v>
      </c>
    </row>
    <row r="29" spans="1:4" x14ac:dyDescent="0.25">
      <c r="A29" s="25" t="s">
        <v>1444</v>
      </c>
      <c r="B29" s="26">
        <v>0</v>
      </c>
      <c r="C29" s="25">
        <v>0</v>
      </c>
      <c r="D29" s="26" t="s">
        <v>1445</v>
      </c>
    </row>
    <row r="30" spans="1:4" x14ac:dyDescent="0.25">
      <c r="A30" s="25" t="s">
        <v>1446</v>
      </c>
      <c r="B30" s="26">
        <v>0</v>
      </c>
      <c r="C30" s="25">
        <v>0</v>
      </c>
      <c r="D30" s="26" t="s">
        <v>1447</v>
      </c>
    </row>
    <row r="31" spans="1:4" x14ac:dyDescent="0.25">
      <c r="A31" s="25" t="s">
        <v>1448</v>
      </c>
      <c r="B31" s="26">
        <v>-150</v>
      </c>
      <c r="C31" s="25">
        <v>150</v>
      </c>
      <c r="D31" s="26" t="s">
        <v>1449</v>
      </c>
    </row>
    <row r="32" spans="1:4" x14ac:dyDescent="0.25">
      <c r="A32" s="25" t="s">
        <v>1450</v>
      </c>
      <c r="B32" s="26">
        <v>0</v>
      </c>
      <c r="C32" s="25">
        <v>0</v>
      </c>
      <c r="D32" s="26" t="s">
        <v>1451</v>
      </c>
    </row>
    <row r="33" spans="1:6" x14ac:dyDescent="0.25">
      <c r="A33" s="25" t="s">
        <v>1452</v>
      </c>
      <c r="B33" s="26">
        <v>0</v>
      </c>
      <c r="C33" s="25">
        <v>0</v>
      </c>
      <c r="D33" s="26" t="s">
        <v>1453</v>
      </c>
    </row>
    <row r="34" spans="1:6" x14ac:dyDescent="0.25">
      <c r="A34" s="25" t="s">
        <v>1454</v>
      </c>
      <c r="B34" s="26">
        <v>0</v>
      </c>
      <c r="C34" s="25">
        <v>0</v>
      </c>
      <c r="D34" s="26" t="s">
        <v>1455</v>
      </c>
    </row>
    <row r="35" spans="1:6" x14ac:dyDescent="0.25">
      <c r="A35" s="25" t="s">
        <v>1456</v>
      </c>
      <c r="B35" s="26">
        <v>0</v>
      </c>
      <c r="C35" s="25">
        <v>0</v>
      </c>
      <c r="D35" s="26" t="s">
        <v>1457</v>
      </c>
    </row>
    <row r="36" spans="1:6" x14ac:dyDescent="0.25">
      <c r="A36" s="25" t="s">
        <v>1458</v>
      </c>
      <c r="B36" s="26">
        <v>0</v>
      </c>
      <c r="C36" s="25">
        <v>0</v>
      </c>
      <c r="D36" s="26" t="s">
        <v>1459</v>
      </c>
    </row>
    <row r="37" spans="1:6" x14ac:dyDescent="0.25">
      <c r="A37" s="25" t="s">
        <v>1460</v>
      </c>
      <c r="B37" s="26">
        <v>0</v>
      </c>
      <c r="C37" s="25">
        <v>0</v>
      </c>
      <c r="D37" s="26" t="s">
        <v>1461</v>
      </c>
    </row>
    <row r="38" spans="1:6" x14ac:dyDescent="0.25">
      <c r="A38" s="25" t="s">
        <v>1462</v>
      </c>
      <c r="B38" s="26">
        <v>0</v>
      </c>
      <c r="C38" s="25">
        <v>0</v>
      </c>
      <c r="D38" s="26" t="s">
        <v>1463</v>
      </c>
    </row>
    <row r="39" spans="1:6" x14ac:dyDescent="0.25">
      <c r="A39" s="25" t="s">
        <v>1464</v>
      </c>
      <c r="B39" s="26">
        <v>0</v>
      </c>
      <c r="C39" s="25">
        <v>0</v>
      </c>
      <c r="D39" s="26" t="s">
        <v>1465</v>
      </c>
    </row>
    <row r="40" spans="1:6" x14ac:dyDescent="0.25">
      <c r="A40" s="25" t="s">
        <v>1466</v>
      </c>
      <c r="B40" s="26">
        <v>0</v>
      </c>
      <c r="C40" s="25">
        <v>0</v>
      </c>
      <c r="D40" s="26" t="s">
        <v>1467</v>
      </c>
    </row>
    <row r="41" spans="1:6" x14ac:dyDescent="0.25">
      <c r="A41" s="25" t="s">
        <v>1468</v>
      </c>
      <c r="B41" s="26">
        <v>0</v>
      </c>
      <c r="C41" s="25">
        <v>0</v>
      </c>
      <c r="D41" s="26" t="s">
        <v>1469</v>
      </c>
    </row>
    <row r="42" spans="1:6" x14ac:dyDescent="0.25">
      <c r="A42" s="25" t="s">
        <v>1470</v>
      </c>
      <c r="B42" s="26">
        <v>0</v>
      </c>
      <c r="C42" s="25">
        <v>0</v>
      </c>
      <c r="D42" s="26" t="s">
        <v>1471</v>
      </c>
    </row>
    <row r="43" spans="1:6" x14ac:dyDescent="0.25">
      <c r="A43" s="25" t="s">
        <v>1472</v>
      </c>
      <c r="B43" s="26">
        <v>0</v>
      </c>
      <c r="C43" s="25">
        <v>0</v>
      </c>
      <c r="D43" s="26" t="s">
        <v>1473</v>
      </c>
    </row>
    <row r="44" spans="1:6" x14ac:dyDescent="0.25">
      <c r="A44" s="25" t="s">
        <v>1474</v>
      </c>
      <c r="B44" s="26">
        <v>0</v>
      </c>
      <c r="C44" s="25">
        <v>0</v>
      </c>
      <c r="D44" s="26" t="s">
        <v>1475</v>
      </c>
    </row>
    <row r="45" spans="1:6" x14ac:dyDescent="0.25">
      <c r="A45" s="25" t="s">
        <v>1476</v>
      </c>
      <c r="B45" s="26">
        <v>0</v>
      </c>
      <c r="C45" s="25">
        <v>150</v>
      </c>
      <c r="D45" s="26" t="s">
        <v>1477</v>
      </c>
      <c r="F45" s="5" t="s">
        <v>6418</v>
      </c>
    </row>
    <row r="46" spans="1:6" x14ac:dyDescent="0.25">
      <c r="A46" s="25" t="s">
        <v>1478</v>
      </c>
      <c r="B46" s="26">
        <v>-150</v>
      </c>
      <c r="C46" s="25">
        <v>150</v>
      </c>
      <c r="D46" s="26" t="s">
        <v>1479</v>
      </c>
    </row>
    <row r="47" spans="1:6" x14ac:dyDescent="0.25">
      <c r="A47" s="25" t="s">
        <v>1480</v>
      </c>
      <c r="B47" s="26">
        <v>0</v>
      </c>
      <c r="C47" s="25">
        <v>150</v>
      </c>
      <c r="D47" s="26" t="s">
        <v>1481</v>
      </c>
      <c r="F47" s="5" t="s">
        <v>6418</v>
      </c>
    </row>
    <row r="48" spans="1:6" x14ac:dyDescent="0.25">
      <c r="A48" s="25" t="s">
        <v>1482</v>
      </c>
      <c r="B48" s="26">
        <v>-150</v>
      </c>
      <c r="C48" s="25">
        <v>0</v>
      </c>
      <c r="D48" s="26" t="s">
        <v>1483</v>
      </c>
      <c r="F48" s="5" t="s">
        <v>6419</v>
      </c>
    </row>
    <row r="49" spans="1:6" x14ac:dyDescent="0.25">
      <c r="A49" s="25" t="s">
        <v>1484</v>
      </c>
      <c r="B49" s="26">
        <v>0</v>
      </c>
      <c r="C49" s="25">
        <v>0</v>
      </c>
      <c r="D49" s="26" t="s">
        <v>1485</v>
      </c>
    </row>
    <row r="50" spans="1:6" x14ac:dyDescent="0.25">
      <c r="A50" s="25" t="s">
        <v>1486</v>
      </c>
      <c r="B50" s="26">
        <v>0</v>
      </c>
      <c r="C50" s="25">
        <v>0</v>
      </c>
      <c r="D50" s="26" t="s">
        <v>1487</v>
      </c>
    </row>
    <row r="51" spans="1:6" x14ac:dyDescent="0.25">
      <c r="A51" s="25" t="s">
        <v>1488</v>
      </c>
      <c r="B51" s="26">
        <v>0</v>
      </c>
      <c r="C51" s="25">
        <v>150</v>
      </c>
      <c r="D51" s="26" t="s">
        <v>1489</v>
      </c>
      <c r="F51" s="5" t="s">
        <v>6418</v>
      </c>
    </row>
    <row r="52" spans="1:6" x14ac:dyDescent="0.25">
      <c r="A52" s="25" t="s">
        <v>1490</v>
      </c>
      <c r="B52" s="26">
        <v>0</v>
      </c>
      <c r="C52" s="25">
        <v>0</v>
      </c>
      <c r="D52" s="26" t="s">
        <v>1491</v>
      </c>
    </row>
    <row r="53" spans="1:6" x14ac:dyDescent="0.25">
      <c r="A53" s="25" t="s">
        <v>1492</v>
      </c>
      <c r="B53" s="26">
        <v>-150</v>
      </c>
      <c r="C53" s="25">
        <v>0</v>
      </c>
      <c r="D53" s="26" t="s">
        <v>1493</v>
      </c>
      <c r="F53" s="5" t="s">
        <v>6419</v>
      </c>
    </row>
    <row r="54" spans="1:6" x14ac:dyDescent="0.25">
      <c r="A54" s="25" t="s">
        <v>1494</v>
      </c>
      <c r="B54" s="26">
        <v>0</v>
      </c>
      <c r="C54" s="25">
        <v>0</v>
      </c>
      <c r="D54" s="26" t="s">
        <v>1495</v>
      </c>
    </row>
    <row r="55" spans="1:6" x14ac:dyDescent="0.25">
      <c r="A55" s="25" t="s">
        <v>1496</v>
      </c>
      <c r="B55" s="26">
        <v>0</v>
      </c>
      <c r="C55" s="25">
        <v>0</v>
      </c>
      <c r="D55" s="26" t="s">
        <v>1497</v>
      </c>
    </row>
    <row r="56" spans="1:6" x14ac:dyDescent="0.25">
      <c r="A56" s="25" t="s">
        <v>1498</v>
      </c>
      <c r="B56" s="26">
        <v>0</v>
      </c>
      <c r="C56" s="25">
        <v>0</v>
      </c>
      <c r="D56" s="26" t="s">
        <v>1499</v>
      </c>
    </row>
    <row r="57" spans="1:6" x14ac:dyDescent="0.25">
      <c r="A57" s="25" t="s">
        <v>1500</v>
      </c>
      <c r="B57" s="26">
        <v>0</v>
      </c>
      <c r="C57" s="25">
        <v>0</v>
      </c>
      <c r="D57" s="26" t="s">
        <v>1501</v>
      </c>
    </row>
    <row r="58" spans="1:6" x14ac:dyDescent="0.25">
      <c r="A58" s="25" t="s">
        <v>1502</v>
      </c>
      <c r="B58" s="26">
        <v>0</v>
      </c>
      <c r="C58" s="25">
        <v>0</v>
      </c>
      <c r="D58" s="26" t="s">
        <v>1503</v>
      </c>
    </row>
    <row r="59" spans="1:6" x14ac:dyDescent="0.25">
      <c r="A59" s="25" t="s">
        <v>1504</v>
      </c>
      <c r="B59" s="26">
        <v>0</v>
      </c>
      <c r="C59" s="25">
        <v>0</v>
      </c>
      <c r="D59" s="26" t="s">
        <v>1505</v>
      </c>
    </row>
    <row r="60" spans="1:6" x14ac:dyDescent="0.25">
      <c r="A60" s="25" t="s">
        <v>1506</v>
      </c>
      <c r="B60" s="26">
        <v>-150</v>
      </c>
      <c r="C60" s="25">
        <v>0</v>
      </c>
      <c r="D60" s="26" t="s">
        <v>1507</v>
      </c>
      <c r="F60" s="5" t="s">
        <v>6419</v>
      </c>
    </row>
    <row r="61" spans="1:6" x14ac:dyDescent="0.25">
      <c r="A61" s="25" t="s">
        <v>1508</v>
      </c>
      <c r="B61" s="26">
        <v>-150</v>
      </c>
      <c r="C61" s="25">
        <v>0</v>
      </c>
      <c r="D61" s="26" t="s">
        <v>1509</v>
      </c>
      <c r="F61" s="5" t="s">
        <v>6419</v>
      </c>
    </row>
    <row r="62" spans="1:6" x14ac:dyDescent="0.25">
      <c r="A62" s="25" t="s">
        <v>1510</v>
      </c>
      <c r="B62" s="26">
        <v>0</v>
      </c>
      <c r="C62" s="25">
        <v>0</v>
      </c>
      <c r="D62" s="26" t="s">
        <v>1511</v>
      </c>
    </row>
    <row r="63" spans="1:6" x14ac:dyDescent="0.25">
      <c r="A63" s="25" t="s">
        <v>1512</v>
      </c>
      <c r="B63" s="26">
        <v>0</v>
      </c>
      <c r="C63" s="25">
        <v>0</v>
      </c>
      <c r="D63" s="26" t="s">
        <v>1513</v>
      </c>
    </row>
    <row r="64" spans="1:6" x14ac:dyDescent="0.25">
      <c r="A64" s="25" t="s">
        <v>1514</v>
      </c>
      <c r="B64" s="26">
        <v>0</v>
      </c>
      <c r="C64" s="25">
        <v>0</v>
      </c>
      <c r="D64" s="26" t="s">
        <v>1515</v>
      </c>
    </row>
    <row r="65" spans="1:6" x14ac:dyDescent="0.25">
      <c r="A65" s="25" t="s">
        <v>1516</v>
      </c>
      <c r="B65" s="26">
        <v>0</v>
      </c>
      <c r="C65" s="25">
        <v>0</v>
      </c>
      <c r="D65" s="26" t="s">
        <v>1517</v>
      </c>
    </row>
    <row r="66" spans="1:6" x14ac:dyDescent="0.25">
      <c r="A66" s="25" t="s">
        <v>1518</v>
      </c>
      <c r="B66" s="26">
        <v>0</v>
      </c>
      <c r="C66" s="25">
        <v>0</v>
      </c>
      <c r="D66" s="26" t="s">
        <v>1519</v>
      </c>
    </row>
    <row r="67" spans="1:6" x14ac:dyDescent="0.25">
      <c r="A67" s="25" t="s">
        <v>1520</v>
      </c>
      <c r="B67" s="26">
        <v>0</v>
      </c>
      <c r="C67" s="25">
        <v>0</v>
      </c>
      <c r="D67" s="26" t="s">
        <v>1521</v>
      </c>
    </row>
    <row r="68" spans="1:6" x14ac:dyDescent="0.25">
      <c r="A68" s="25" t="s">
        <v>1522</v>
      </c>
      <c r="B68" s="26">
        <v>0</v>
      </c>
      <c r="C68" s="25">
        <v>0</v>
      </c>
      <c r="D68" s="26" t="s">
        <v>1523</v>
      </c>
    </row>
    <row r="69" spans="1:6" x14ac:dyDescent="0.25">
      <c r="A69" s="25" t="s">
        <v>1524</v>
      </c>
      <c r="B69" s="26">
        <v>-150</v>
      </c>
      <c r="C69" s="25">
        <v>0</v>
      </c>
      <c r="D69" s="26" t="s">
        <v>1525</v>
      </c>
      <c r="F69" s="5" t="s">
        <v>6419</v>
      </c>
    </row>
    <row r="70" spans="1:6" x14ac:dyDescent="0.25">
      <c r="A70" s="25" t="s">
        <v>1526</v>
      </c>
      <c r="B70" s="26">
        <v>0</v>
      </c>
      <c r="C70" s="25">
        <v>0</v>
      </c>
      <c r="D70" s="26" t="s">
        <v>1527</v>
      </c>
    </row>
    <row r="71" spans="1:6" x14ac:dyDescent="0.25">
      <c r="A71" s="25" t="s">
        <v>1528</v>
      </c>
      <c r="B71" s="26">
        <v>0</v>
      </c>
      <c r="C71" s="25">
        <v>0</v>
      </c>
      <c r="D71" s="26" t="s">
        <v>1529</v>
      </c>
    </row>
    <row r="72" spans="1:6" x14ac:dyDescent="0.25">
      <c r="A72" s="25" t="s">
        <v>1530</v>
      </c>
      <c r="B72" s="26">
        <v>0</v>
      </c>
      <c r="C72" s="25">
        <v>0</v>
      </c>
      <c r="D72" s="26" t="s">
        <v>1531</v>
      </c>
    </row>
    <row r="73" spans="1:6" x14ac:dyDescent="0.25">
      <c r="A73" s="25" t="s">
        <v>1532</v>
      </c>
      <c r="B73" s="26">
        <v>0</v>
      </c>
      <c r="C73" s="25">
        <v>0</v>
      </c>
      <c r="D73" s="26" t="s">
        <v>1533</v>
      </c>
    </row>
    <row r="74" spans="1:6" x14ac:dyDescent="0.25">
      <c r="A74" s="25" t="s">
        <v>1534</v>
      </c>
      <c r="B74" s="26">
        <v>-150</v>
      </c>
      <c r="C74" s="25">
        <v>150</v>
      </c>
      <c r="D74" s="26" t="s">
        <v>3858</v>
      </c>
    </row>
    <row r="75" spans="1:6" x14ac:dyDescent="0.25">
      <c r="A75" s="25" t="s">
        <v>1535</v>
      </c>
      <c r="B75" s="26">
        <v>-150</v>
      </c>
      <c r="C75" s="25">
        <v>150</v>
      </c>
      <c r="D75" s="26" t="s">
        <v>1536</v>
      </c>
    </row>
    <row r="76" spans="1:6" x14ac:dyDescent="0.25">
      <c r="A76" s="25" t="s">
        <v>1537</v>
      </c>
      <c r="B76" s="26">
        <v>0</v>
      </c>
      <c r="C76" s="25">
        <v>0</v>
      </c>
      <c r="D76" s="26" t="s">
        <v>1538</v>
      </c>
    </row>
    <row r="77" spans="1:6" x14ac:dyDescent="0.25">
      <c r="A77" s="25" t="s">
        <v>1539</v>
      </c>
      <c r="B77" s="26">
        <v>0</v>
      </c>
      <c r="C77" s="25">
        <v>0</v>
      </c>
      <c r="D77" s="26" t="s">
        <v>1540</v>
      </c>
    </row>
    <row r="78" spans="1:6" x14ac:dyDescent="0.25">
      <c r="A78" s="25" t="s">
        <v>1541</v>
      </c>
      <c r="B78" s="26">
        <v>0</v>
      </c>
      <c r="C78" s="25">
        <v>0</v>
      </c>
      <c r="D78" s="26" t="s">
        <v>1542</v>
      </c>
    </row>
    <row r="79" spans="1:6" x14ac:dyDescent="0.25">
      <c r="A79" s="25" t="s">
        <v>1543</v>
      </c>
      <c r="B79" s="26">
        <v>0</v>
      </c>
      <c r="C79" s="25">
        <v>0</v>
      </c>
      <c r="D79" s="26" t="s">
        <v>1544</v>
      </c>
    </row>
    <row r="80" spans="1:6" x14ac:dyDescent="0.25">
      <c r="A80" s="25" t="s">
        <v>1545</v>
      </c>
      <c r="B80" s="26">
        <v>0</v>
      </c>
      <c r="C80" s="25">
        <v>0</v>
      </c>
      <c r="D80" s="26" t="s">
        <v>1546</v>
      </c>
    </row>
    <row r="81" spans="1:6" x14ac:dyDescent="0.25">
      <c r="A81" s="25" t="s">
        <v>1547</v>
      </c>
      <c r="B81" s="26">
        <v>0</v>
      </c>
      <c r="C81" s="25">
        <v>0</v>
      </c>
      <c r="D81" s="26" t="s">
        <v>1548</v>
      </c>
    </row>
    <row r="82" spans="1:6" x14ac:dyDescent="0.25">
      <c r="A82" s="25" t="s">
        <v>1549</v>
      </c>
      <c r="B82" s="26">
        <v>0</v>
      </c>
      <c r="C82" s="25">
        <v>0</v>
      </c>
      <c r="D82" s="26" t="s">
        <v>1550</v>
      </c>
    </row>
    <row r="83" spans="1:6" x14ac:dyDescent="0.25">
      <c r="A83" s="25" t="s">
        <v>1551</v>
      </c>
      <c r="B83" s="26">
        <v>-150</v>
      </c>
      <c r="C83" s="25">
        <v>150</v>
      </c>
      <c r="D83" s="26" t="s">
        <v>1552</v>
      </c>
    </row>
    <row r="84" spans="1:6" x14ac:dyDescent="0.25">
      <c r="A84" s="25" t="s">
        <v>1553</v>
      </c>
      <c r="B84" s="26">
        <v>0</v>
      </c>
      <c r="C84" s="25">
        <v>150</v>
      </c>
      <c r="D84" s="26" t="s">
        <v>1554</v>
      </c>
      <c r="F84" s="5" t="s">
        <v>6418</v>
      </c>
    </row>
    <row r="85" spans="1:6" x14ac:dyDescent="0.25">
      <c r="A85" s="25" t="s">
        <v>1555</v>
      </c>
      <c r="B85" s="26">
        <v>0</v>
      </c>
      <c r="C85" s="25">
        <v>0</v>
      </c>
      <c r="D85" s="26" t="s">
        <v>1556</v>
      </c>
    </row>
    <row r="86" spans="1:6" x14ac:dyDescent="0.25">
      <c r="A86" s="25" t="s">
        <v>1557</v>
      </c>
      <c r="B86" s="26">
        <v>0</v>
      </c>
      <c r="C86" s="25">
        <v>0</v>
      </c>
      <c r="D86" s="26" t="s">
        <v>1558</v>
      </c>
    </row>
    <row r="87" spans="1:6" x14ac:dyDescent="0.25">
      <c r="A87" s="25" t="s">
        <v>1559</v>
      </c>
      <c r="B87" s="26">
        <v>0</v>
      </c>
      <c r="C87" s="25">
        <v>0</v>
      </c>
      <c r="D87" s="26" t="s">
        <v>1560</v>
      </c>
    </row>
    <row r="88" spans="1:6" x14ac:dyDescent="0.25">
      <c r="A88" s="25" t="s">
        <v>1561</v>
      </c>
      <c r="B88" s="26">
        <v>0</v>
      </c>
      <c r="C88" s="25">
        <v>0</v>
      </c>
      <c r="D88" s="26" t="s">
        <v>1562</v>
      </c>
    </row>
    <row r="89" spans="1:6" x14ac:dyDescent="0.25">
      <c r="A89" s="25" t="s">
        <v>1563</v>
      </c>
      <c r="B89" s="26">
        <v>0</v>
      </c>
      <c r="C89" s="25">
        <v>0</v>
      </c>
      <c r="D89" s="26" t="s">
        <v>1564</v>
      </c>
    </row>
    <row r="90" spans="1:6" x14ac:dyDescent="0.25">
      <c r="A90" s="25" t="s">
        <v>1565</v>
      </c>
      <c r="B90" s="26">
        <v>0</v>
      </c>
      <c r="C90" s="25">
        <v>0</v>
      </c>
      <c r="D90" s="26" t="s">
        <v>1566</v>
      </c>
    </row>
    <row r="91" spans="1:6" x14ac:dyDescent="0.25">
      <c r="A91" s="25" t="s">
        <v>1567</v>
      </c>
      <c r="B91" s="26">
        <v>0</v>
      </c>
      <c r="C91" s="25">
        <v>0</v>
      </c>
      <c r="D91" s="26" t="s">
        <v>1568</v>
      </c>
    </row>
    <row r="92" spans="1:6" x14ac:dyDescent="0.25">
      <c r="A92" s="25" t="s">
        <v>1569</v>
      </c>
      <c r="B92" s="26">
        <v>0</v>
      </c>
      <c r="C92" s="25">
        <v>0</v>
      </c>
      <c r="D92" s="26" t="s">
        <v>1570</v>
      </c>
    </row>
    <row r="93" spans="1:6" x14ac:dyDescent="0.25">
      <c r="A93" s="25" t="s">
        <v>1571</v>
      </c>
      <c r="B93" s="26">
        <v>0</v>
      </c>
      <c r="C93" s="25">
        <v>0</v>
      </c>
      <c r="D93" s="26" t="s">
        <v>1572</v>
      </c>
    </row>
    <row r="94" spans="1:6" x14ac:dyDescent="0.25">
      <c r="A94" s="25" t="s">
        <v>1573</v>
      </c>
      <c r="B94" s="26">
        <v>0</v>
      </c>
      <c r="C94" s="25">
        <v>0</v>
      </c>
      <c r="D94" s="26" t="s">
        <v>1574</v>
      </c>
    </row>
    <row r="95" spans="1:6" x14ac:dyDescent="0.25">
      <c r="A95" s="25" t="s">
        <v>1575</v>
      </c>
      <c r="B95" s="26">
        <v>0</v>
      </c>
      <c r="C95" s="25">
        <v>0</v>
      </c>
      <c r="D95" s="26" t="s">
        <v>1576</v>
      </c>
    </row>
    <row r="96" spans="1:6" x14ac:dyDescent="0.25">
      <c r="A96" s="25" t="s">
        <v>1577</v>
      </c>
      <c r="B96" s="26">
        <v>0</v>
      </c>
      <c r="C96" s="25">
        <v>0</v>
      </c>
      <c r="D96" s="26" t="s">
        <v>1578</v>
      </c>
    </row>
    <row r="97" spans="1:4" x14ac:dyDescent="0.25">
      <c r="A97" s="25" t="s">
        <v>1579</v>
      </c>
      <c r="B97" s="26">
        <v>0</v>
      </c>
      <c r="C97" s="25">
        <v>0</v>
      </c>
      <c r="D97" s="26" t="s">
        <v>1580</v>
      </c>
    </row>
    <row r="98" spans="1:4" x14ac:dyDescent="0.25">
      <c r="A98" s="25" t="s">
        <v>1581</v>
      </c>
      <c r="B98" s="26">
        <v>0</v>
      </c>
      <c r="C98" s="25">
        <v>0</v>
      </c>
      <c r="D98" s="26" t="s">
        <v>1582</v>
      </c>
    </row>
    <row r="99" spans="1:4" x14ac:dyDescent="0.25">
      <c r="A99" s="25" t="s">
        <v>1583</v>
      </c>
      <c r="B99" s="26">
        <v>0</v>
      </c>
      <c r="C99" s="25">
        <v>0</v>
      </c>
      <c r="D99" s="26" t="s">
        <v>1584</v>
      </c>
    </row>
    <row r="100" spans="1:4" x14ac:dyDescent="0.25">
      <c r="A100" s="25" t="s">
        <v>1585</v>
      </c>
      <c r="B100" s="26">
        <v>0</v>
      </c>
      <c r="C100" s="25">
        <v>0</v>
      </c>
      <c r="D100" s="26" t="s">
        <v>1586</v>
      </c>
    </row>
    <row r="101" spans="1:4" x14ac:dyDescent="0.25">
      <c r="A101" s="25" t="s">
        <v>1587</v>
      </c>
      <c r="B101" s="26">
        <v>-150</v>
      </c>
      <c r="C101" s="25">
        <v>150</v>
      </c>
      <c r="D101" s="26" t="s">
        <v>1588</v>
      </c>
    </row>
    <row r="102" spans="1:4" x14ac:dyDescent="0.25">
      <c r="A102" s="25" t="s">
        <v>1589</v>
      </c>
      <c r="B102" s="26">
        <v>0</v>
      </c>
      <c r="C102" s="25">
        <v>0</v>
      </c>
      <c r="D102" s="26" t="s">
        <v>1590</v>
      </c>
    </row>
    <row r="103" spans="1:4" x14ac:dyDescent="0.25">
      <c r="A103" s="25" t="s">
        <v>1591</v>
      </c>
      <c r="B103" s="26">
        <v>0</v>
      </c>
      <c r="C103" s="25">
        <v>0</v>
      </c>
      <c r="D103" s="26" t="s">
        <v>1592</v>
      </c>
    </row>
    <row r="104" spans="1:4" x14ac:dyDescent="0.25">
      <c r="A104" s="25" t="s">
        <v>3859</v>
      </c>
      <c r="B104" s="26">
        <v>-150</v>
      </c>
      <c r="C104" s="25">
        <v>150</v>
      </c>
      <c r="D104" s="26" t="s">
        <v>1593</v>
      </c>
    </row>
    <row r="105" spans="1:4" x14ac:dyDescent="0.25">
      <c r="A105" s="25" t="s">
        <v>1594</v>
      </c>
      <c r="B105" s="26">
        <v>0</v>
      </c>
      <c r="C105" s="25">
        <v>0</v>
      </c>
      <c r="D105" s="26" t="s">
        <v>1595</v>
      </c>
    </row>
    <row r="106" spans="1:4" x14ac:dyDescent="0.25">
      <c r="A106" s="25" t="s">
        <v>1596</v>
      </c>
      <c r="B106" s="26">
        <v>0</v>
      </c>
      <c r="C106" s="25">
        <v>0</v>
      </c>
      <c r="D106" s="26" t="s">
        <v>1597</v>
      </c>
    </row>
    <row r="107" spans="1:4" x14ac:dyDescent="0.25">
      <c r="A107" s="25" t="s">
        <v>1598</v>
      </c>
      <c r="B107" s="26">
        <v>0</v>
      </c>
      <c r="C107" s="25">
        <v>0</v>
      </c>
      <c r="D107" s="26" t="s">
        <v>1599</v>
      </c>
    </row>
    <row r="108" spans="1:4" x14ac:dyDescent="0.25">
      <c r="A108" s="25" t="s">
        <v>1600</v>
      </c>
      <c r="B108" s="26">
        <v>-150</v>
      </c>
      <c r="C108" s="25">
        <v>0</v>
      </c>
      <c r="D108" s="26" t="s">
        <v>1601</v>
      </c>
    </row>
    <row r="109" spans="1:4" x14ac:dyDescent="0.25">
      <c r="A109" s="25" t="s">
        <v>1602</v>
      </c>
      <c r="B109" s="26">
        <v>0</v>
      </c>
      <c r="C109" s="25">
        <v>0</v>
      </c>
      <c r="D109" s="26" t="s">
        <v>1603</v>
      </c>
    </row>
    <row r="110" spans="1:4" x14ac:dyDescent="0.25">
      <c r="A110" s="25" t="s">
        <v>1604</v>
      </c>
      <c r="B110" s="26">
        <v>0</v>
      </c>
      <c r="C110" s="25">
        <v>0</v>
      </c>
      <c r="D110" s="26" t="s">
        <v>1605</v>
      </c>
    </row>
    <row r="111" spans="1:4" x14ac:dyDescent="0.25">
      <c r="A111" s="25" t="s">
        <v>1606</v>
      </c>
      <c r="B111" s="26">
        <v>0</v>
      </c>
      <c r="C111" s="25">
        <v>0</v>
      </c>
      <c r="D111" s="26" t="s">
        <v>1607</v>
      </c>
    </row>
    <row r="112" spans="1:4" x14ac:dyDescent="0.25">
      <c r="A112" s="25" t="s">
        <v>1608</v>
      </c>
      <c r="B112" s="26">
        <v>-150</v>
      </c>
      <c r="C112" s="25">
        <v>150</v>
      </c>
      <c r="D112" s="26" t="s">
        <v>1609</v>
      </c>
    </row>
    <row r="113" spans="1:6" x14ac:dyDescent="0.25">
      <c r="A113" s="25" t="s">
        <v>1610</v>
      </c>
      <c r="B113" s="26">
        <v>0</v>
      </c>
      <c r="C113" s="25">
        <v>0</v>
      </c>
      <c r="D113" s="26" t="s">
        <v>1611</v>
      </c>
    </row>
    <row r="114" spans="1:6" x14ac:dyDescent="0.25">
      <c r="A114" s="25" t="s">
        <v>1612</v>
      </c>
      <c r="B114" s="26">
        <v>0</v>
      </c>
      <c r="C114" s="25">
        <v>0</v>
      </c>
      <c r="D114" s="26" t="s">
        <v>1613</v>
      </c>
    </row>
    <row r="115" spans="1:6" x14ac:dyDescent="0.25">
      <c r="A115" s="25" t="s">
        <v>1614</v>
      </c>
      <c r="B115" s="26">
        <v>0</v>
      </c>
      <c r="C115" s="25">
        <v>0</v>
      </c>
      <c r="D115" s="26" t="s">
        <v>1615</v>
      </c>
    </row>
    <row r="116" spans="1:6" x14ac:dyDescent="0.25">
      <c r="A116" s="25" t="s">
        <v>1616</v>
      </c>
      <c r="B116" s="26">
        <v>0</v>
      </c>
      <c r="C116" s="25">
        <v>0</v>
      </c>
      <c r="D116" s="26" t="s">
        <v>1617</v>
      </c>
    </row>
    <row r="117" spans="1:6" x14ac:dyDescent="0.25">
      <c r="A117" s="25" t="s">
        <v>1618</v>
      </c>
      <c r="B117" s="26">
        <v>-150</v>
      </c>
      <c r="C117" s="25">
        <v>0</v>
      </c>
      <c r="D117" s="26" t="s">
        <v>1619</v>
      </c>
      <c r="F117" s="5" t="s">
        <v>6419</v>
      </c>
    </row>
    <row r="118" spans="1:6" x14ac:dyDescent="0.25">
      <c r="A118" s="25" t="s">
        <v>1620</v>
      </c>
      <c r="B118" s="26">
        <v>0</v>
      </c>
      <c r="C118" s="25">
        <v>0</v>
      </c>
      <c r="D118" s="26" t="s">
        <v>1621</v>
      </c>
    </row>
    <row r="119" spans="1:6" x14ac:dyDescent="0.25">
      <c r="A119" s="25" t="s">
        <v>1622</v>
      </c>
      <c r="B119" s="26">
        <v>0</v>
      </c>
      <c r="C119" s="25">
        <v>0</v>
      </c>
      <c r="D119" s="26" t="s">
        <v>1623</v>
      </c>
    </row>
    <row r="120" spans="1:6" x14ac:dyDescent="0.25">
      <c r="A120" s="25" t="s">
        <v>1624</v>
      </c>
      <c r="B120" s="26">
        <v>0</v>
      </c>
      <c r="C120" s="25">
        <v>0</v>
      </c>
      <c r="D120" s="26" t="s">
        <v>1625</v>
      </c>
    </row>
    <row r="121" spans="1:6" x14ac:dyDescent="0.25">
      <c r="A121" s="25" t="s">
        <v>1626</v>
      </c>
      <c r="B121" s="26">
        <v>0</v>
      </c>
      <c r="C121" s="25">
        <v>0</v>
      </c>
      <c r="D121" s="26" t="s">
        <v>1627</v>
      </c>
    </row>
    <row r="122" spans="1:6" x14ac:dyDescent="0.25">
      <c r="A122" s="25" t="s">
        <v>1628</v>
      </c>
      <c r="B122" s="26">
        <v>0</v>
      </c>
      <c r="C122" s="25">
        <v>0</v>
      </c>
      <c r="D122" s="26" t="s">
        <v>1629</v>
      </c>
    </row>
    <row r="123" spans="1:6" x14ac:dyDescent="0.25">
      <c r="A123" s="25" t="s">
        <v>1630</v>
      </c>
      <c r="B123" s="26">
        <v>-150</v>
      </c>
      <c r="C123" s="25">
        <v>150</v>
      </c>
      <c r="D123" s="26" t="s">
        <v>1631</v>
      </c>
    </row>
    <row r="124" spans="1:6" x14ac:dyDescent="0.25">
      <c r="A124" s="25" t="s">
        <v>1632</v>
      </c>
      <c r="B124" s="26">
        <v>0</v>
      </c>
      <c r="C124" s="25">
        <v>0</v>
      </c>
      <c r="D124" s="26" t="s">
        <v>1633</v>
      </c>
    </row>
    <row r="125" spans="1:6" x14ac:dyDescent="0.25">
      <c r="A125" s="25" t="s">
        <v>1634</v>
      </c>
      <c r="B125" s="26">
        <v>-150</v>
      </c>
      <c r="C125" s="25">
        <v>150</v>
      </c>
      <c r="D125" s="26" t="s">
        <v>1635</v>
      </c>
      <c r="F125" s="5" t="s">
        <v>6420</v>
      </c>
    </row>
    <row r="126" spans="1:6" x14ac:dyDescent="0.25">
      <c r="A126" s="25" t="s">
        <v>1636</v>
      </c>
      <c r="B126" s="26">
        <v>0</v>
      </c>
      <c r="C126" s="25">
        <v>0</v>
      </c>
      <c r="D126" s="26" t="s">
        <v>1637</v>
      </c>
    </row>
    <row r="127" spans="1:6" x14ac:dyDescent="0.25">
      <c r="A127" s="25" t="s">
        <v>1638</v>
      </c>
      <c r="B127" s="26">
        <v>0</v>
      </c>
      <c r="C127" s="25">
        <v>0</v>
      </c>
      <c r="D127" s="26" t="s">
        <v>1639</v>
      </c>
    </row>
    <row r="128" spans="1:6" x14ac:dyDescent="0.25">
      <c r="A128" s="25" t="s">
        <v>1640</v>
      </c>
      <c r="B128" s="26">
        <v>0</v>
      </c>
      <c r="C128" s="25">
        <v>0</v>
      </c>
      <c r="D128" s="26" t="s">
        <v>1641</v>
      </c>
    </row>
    <row r="129" spans="1:4" x14ac:dyDescent="0.25">
      <c r="A129" s="25" t="s">
        <v>1642</v>
      </c>
      <c r="B129" s="26">
        <v>0</v>
      </c>
      <c r="C129" s="25">
        <v>0</v>
      </c>
      <c r="D129" s="26" t="s">
        <v>1643</v>
      </c>
    </row>
    <row r="130" spans="1:4" x14ac:dyDescent="0.25">
      <c r="A130" s="25" t="s">
        <v>1644</v>
      </c>
      <c r="B130" s="26">
        <v>0</v>
      </c>
      <c r="C130" s="25">
        <v>0</v>
      </c>
      <c r="D130" s="26" t="s">
        <v>1645</v>
      </c>
    </row>
    <row r="131" spans="1:4" x14ac:dyDescent="0.25">
      <c r="A131" s="25" t="s">
        <v>1646</v>
      </c>
      <c r="B131" s="26">
        <v>0</v>
      </c>
      <c r="C131" s="25">
        <v>0</v>
      </c>
      <c r="D131" s="26" t="s">
        <v>1647</v>
      </c>
    </row>
    <row r="132" spans="1:4" x14ac:dyDescent="0.25">
      <c r="A132" s="25" t="s">
        <v>1648</v>
      </c>
      <c r="B132" s="26">
        <v>0</v>
      </c>
      <c r="C132" s="25">
        <v>0</v>
      </c>
      <c r="D132" s="26" t="s">
        <v>1649</v>
      </c>
    </row>
    <row r="133" spans="1:4" x14ac:dyDescent="0.25">
      <c r="A133" s="25" t="s">
        <v>1650</v>
      </c>
      <c r="B133" s="26">
        <v>0</v>
      </c>
      <c r="C133" s="25">
        <v>0</v>
      </c>
      <c r="D133" s="26" t="s">
        <v>1651</v>
      </c>
    </row>
    <row r="134" spans="1:4" x14ac:dyDescent="0.25">
      <c r="A134" s="25" t="s">
        <v>1652</v>
      </c>
      <c r="B134" s="26">
        <v>0</v>
      </c>
      <c r="C134" s="25">
        <v>0</v>
      </c>
      <c r="D134" s="26" t="s">
        <v>1653</v>
      </c>
    </row>
    <row r="135" spans="1:4" x14ac:dyDescent="0.25">
      <c r="A135" s="25" t="s">
        <v>1654</v>
      </c>
      <c r="B135" s="26">
        <v>0</v>
      </c>
      <c r="C135" s="25">
        <v>0</v>
      </c>
      <c r="D135" s="26" t="s">
        <v>1655</v>
      </c>
    </row>
    <row r="136" spans="1:4" x14ac:dyDescent="0.25">
      <c r="A136" s="25" t="s">
        <v>1656</v>
      </c>
      <c r="B136" s="26">
        <v>0</v>
      </c>
      <c r="C136" s="25">
        <v>0</v>
      </c>
      <c r="D136" s="26" t="s">
        <v>1657</v>
      </c>
    </row>
    <row r="137" spans="1:4" x14ac:dyDescent="0.25">
      <c r="A137" s="25" t="s">
        <v>1658</v>
      </c>
      <c r="B137" s="26">
        <v>0</v>
      </c>
      <c r="C137" s="25">
        <v>0</v>
      </c>
      <c r="D137" s="26" t="s">
        <v>1659</v>
      </c>
    </row>
    <row r="138" spans="1:4" x14ac:dyDescent="0.25">
      <c r="A138" s="25" t="s">
        <v>1660</v>
      </c>
      <c r="B138" s="26">
        <v>0</v>
      </c>
      <c r="C138" s="25">
        <v>0</v>
      </c>
      <c r="D138" s="26" t="s">
        <v>1661</v>
      </c>
    </row>
    <row r="139" spans="1:4" x14ac:dyDescent="0.25">
      <c r="A139" s="25" t="s">
        <v>1662</v>
      </c>
      <c r="B139" s="26">
        <v>0</v>
      </c>
      <c r="C139" s="25">
        <v>0</v>
      </c>
      <c r="D139" s="26" t="s">
        <v>1663</v>
      </c>
    </row>
    <row r="140" spans="1:4" x14ac:dyDescent="0.25">
      <c r="A140" s="25" t="s">
        <v>1664</v>
      </c>
      <c r="B140" s="26">
        <v>0</v>
      </c>
      <c r="C140" s="25">
        <v>0</v>
      </c>
      <c r="D140" s="26" t="s">
        <v>1665</v>
      </c>
    </row>
    <row r="141" spans="1:4" x14ac:dyDescent="0.25">
      <c r="A141" s="25" t="s">
        <v>1666</v>
      </c>
      <c r="B141" s="26">
        <v>0</v>
      </c>
      <c r="C141" s="25">
        <v>0</v>
      </c>
      <c r="D141" s="26" t="s">
        <v>1667</v>
      </c>
    </row>
    <row r="142" spans="1:4" x14ac:dyDescent="0.25">
      <c r="A142" s="25" t="s">
        <v>1668</v>
      </c>
      <c r="B142" s="26">
        <v>0</v>
      </c>
      <c r="C142" s="25">
        <v>0</v>
      </c>
      <c r="D142" s="26" t="s">
        <v>1669</v>
      </c>
    </row>
    <row r="143" spans="1:4" x14ac:dyDescent="0.25">
      <c r="A143" s="25" t="s">
        <v>1670</v>
      </c>
      <c r="B143" s="26">
        <v>0</v>
      </c>
      <c r="C143" s="25">
        <v>0</v>
      </c>
      <c r="D143" s="26" t="s">
        <v>1671</v>
      </c>
    </row>
    <row r="144" spans="1:4" x14ac:dyDescent="0.25">
      <c r="A144" s="25" t="s">
        <v>1672</v>
      </c>
      <c r="B144" s="26">
        <v>0</v>
      </c>
      <c r="C144" s="25">
        <v>0</v>
      </c>
      <c r="D144" s="26" t="s">
        <v>1673</v>
      </c>
    </row>
    <row r="145" spans="1:4" x14ac:dyDescent="0.25">
      <c r="A145" s="25" t="s">
        <v>1674</v>
      </c>
      <c r="B145" s="26">
        <v>0</v>
      </c>
      <c r="C145" s="25">
        <v>0</v>
      </c>
      <c r="D145" s="26" t="s">
        <v>1675</v>
      </c>
    </row>
  </sheetData>
  <conditionalFormatting sqref="A1">
    <cfRule type="duplicateValues" dxfId="53" priority="3"/>
  </conditionalFormatting>
  <conditionalFormatting sqref="D1">
    <cfRule type="duplicateValues" dxfId="52" priority="4"/>
  </conditionalFormatting>
  <conditionalFormatting sqref="D1">
    <cfRule type="duplicateValues" dxfId="51" priority="2"/>
  </conditionalFormatting>
  <conditionalFormatting sqref="A1">
    <cfRule type="duplicateValues" dxfId="5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M724"/>
  <sheetViews>
    <sheetView workbookViewId="0">
      <pane ySplit="1" topLeftCell="A271" activePane="bottomLeft" state="frozen"/>
      <selection pane="bottomLeft" activeCell="D282" sqref="D282"/>
    </sheetView>
  </sheetViews>
  <sheetFormatPr defaultRowHeight="15" x14ac:dyDescent="0.25"/>
  <cols>
    <col min="1" max="1" width="13.85546875" bestFit="1" customWidth="1"/>
    <col min="2" max="2" width="12.5703125" style="9" bestFit="1" customWidth="1"/>
    <col min="3" max="3" width="12.5703125" bestFit="1" customWidth="1"/>
    <col min="4" max="4" width="118.140625" style="9" bestFit="1" customWidth="1"/>
    <col min="6" max="6" width="114.28515625" style="5" bestFit="1" customWidth="1"/>
    <col min="7" max="7" width="49.42578125" style="5" bestFit="1" customWidth="1"/>
    <col min="8" max="8" width="22.85546875" style="5" bestFit="1" customWidth="1"/>
    <col min="9" max="9" width="17.5703125" style="5" bestFit="1" customWidth="1"/>
    <col min="12" max="12" width="13.5703125" customWidth="1"/>
    <col min="13" max="13" width="75.7109375" customWidth="1"/>
  </cols>
  <sheetData>
    <row r="1" spans="1:13" s="15" customFormat="1" ht="15.75" thickBot="1" x14ac:dyDescent="0.3">
      <c r="A1" s="50" t="s">
        <v>6932</v>
      </c>
      <c r="B1" s="16" t="s">
        <v>5</v>
      </c>
      <c r="C1" s="15" t="s">
        <v>6</v>
      </c>
      <c r="D1" s="49" t="s">
        <v>6931</v>
      </c>
      <c r="F1" s="33" t="s">
        <v>3863</v>
      </c>
      <c r="G1" s="33" t="s">
        <v>3864</v>
      </c>
      <c r="H1" s="33" t="s">
        <v>3865</v>
      </c>
      <c r="I1" s="34" t="s">
        <v>3866</v>
      </c>
      <c r="L1" s="35"/>
      <c r="M1" s="35"/>
    </row>
    <row r="2" spans="1:13" x14ac:dyDescent="0.25">
      <c r="A2" t="s">
        <v>8</v>
      </c>
      <c r="B2" s="9">
        <v>0</v>
      </c>
      <c r="C2">
        <v>150</v>
      </c>
      <c r="D2" s="9" t="s">
        <v>9</v>
      </c>
      <c r="F2" s="5" t="s">
        <v>3869</v>
      </c>
      <c r="G2" s="5" t="s">
        <v>3870</v>
      </c>
      <c r="I2" s="6">
        <v>121</v>
      </c>
    </row>
    <row r="3" spans="1:13" x14ac:dyDescent="0.25">
      <c r="A3" t="s">
        <v>10</v>
      </c>
      <c r="B3" s="9">
        <v>0</v>
      </c>
      <c r="C3">
        <v>150</v>
      </c>
      <c r="D3" s="9" t="s">
        <v>11</v>
      </c>
      <c r="F3" s="5" t="s">
        <v>3871</v>
      </c>
      <c r="G3" s="5" t="s">
        <v>3870</v>
      </c>
      <c r="H3" s="5" t="s">
        <v>3872</v>
      </c>
      <c r="I3" s="6">
        <v>121</v>
      </c>
    </row>
    <row r="4" spans="1:13" x14ac:dyDescent="0.25">
      <c r="A4" t="s">
        <v>12</v>
      </c>
      <c r="B4" s="9">
        <v>0</v>
      </c>
      <c r="C4">
        <v>150</v>
      </c>
      <c r="D4" s="9" t="s">
        <v>13</v>
      </c>
      <c r="F4" s="5" t="s">
        <v>3873</v>
      </c>
      <c r="G4" s="5" t="s">
        <v>3870</v>
      </c>
      <c r="I4" s="6">
        <v>121</v>
      </c>
    </row>
    <row r="5" spans="1:13" x14ac:dyDescent="0.25">
      <c r="A5" t="s">
        <v>14</v>
      </c>
      <c r="B5" s="9">
        <v>0</v>
      </c>
      <c r="C5">
        <v>150</v>
      </c>
      <c r="D5" s="9" t="s">
        <v>15</v>
      </c>
      <c r="F5" s="5" t="s">
        <v>3874</v>
      </c>
      <c r="G5" s="5" t="s">
        <v>3870</v>
      </c>
      <c r="I5" s="6">
        <v>121</v>
      </c>
    </row>
    <row r="6" spans="1:13" x14ac:dyDescent="0.25">
      <c r="A6" t="s">
        <v>16</v>
      </c>
      <c r="B6" s="9">
        <v>0</v>
      </c>
      <c r="C6">
        <v>150</v>
      </c>
      <c r="D6" s="9" t="s">
        <v>17</v>
      </c>
      <c r="F6" s="5" t="s">
        <v>3875</v>
      </c>
      <c r="G6" s="5" t="s">
        <v>3870</v>
      </c>
      <c r="I6" s="6">
        <v>24</v>
      </c>
    </row>
    <row r="7" spans="1:13" x14ac:dyDescent="0.25">
      <c r="A7" t="s">
        <v>18</v>
      </c>
      <c r="B7" s="9">
        <v>0</v>
      </c>
      <c r="C7">
        <v>150</v>
      </c>
      <c r="D7" s="9" t="s">
        <v>19</v>
      </c>
      <c r="F7" s="5" t="s">
        <v>3876</v>
      </c>
      <c r="G7" s="5" t="s">
        <v>3870</v>
      </c>
      <c r="I7" s="6">
        <v>24</v>
      </c>
    </row>
    <row r="8" spans="1:13" x14ac:dyDescent="0.25">
      <c r="A8" t="s">
        <v>20</v>
      </c>
      <c r="B8" s="9">
        <v>0</v>
      </c>
      <c r="C8">
        <v>150</v>
      </c>
      <c r="D8" s="9" t="s">
        <v>21</v>
      </c>
      <c r="F8" s="5" t="s">
        <v>3877</v>
      </c>
      <c r="G8" s="5" t="s">
        <v>3878</v>
      </c>
      <c r="I8" s="6"/>
    </row>
    <row r="9" spans="1:13" x14ac:dyDescent="0.25">
      <c r="A9" t="s">
        <v>22</v>
      </c>
      <c r="B9" s="9">
        <v>-150</v>
      </c>
      <c r="C9">
        <v>150</v>
      </c>
      <c r="D9" s="9" t="s">
        <v>23</v>
      </c>
      <c r="F9" s="5" t="s">
        <v>3879</v>
      </c>
      <c r="G9" s="5" t="s">
        <v>3870</v>
      </c>
      <c r="H9" s="5" t="s">
        <v>3880</v>
      </c>
      <c r="I9" s="6">
        <v>5</v>
      </c>
    </row>
    <row r="10" spans="1:13" x14ac:dyDescent="0.25">
      <c r="A10" t="s">
        <v>24</v>
      </c>
      <c r="B10" s="9">
        <v>-150</v>
      </c>
      <c r="C10">
        <v>150</v>
      </c>
      <c r="D10" s="9" t="s">
        <v>25</v>
      </c>
      <c r="F10" s="5" t="s">
        <v>3881</v>
      </c>
      <c r="G10" s="5" t="s">
        <v>3870</v>
      </c>
      <c r="H10" s="5" t="s">
        <v>3882</v>
      </c>
      <c r="I10" s="6"/>
    </row>
    <row r="11" spans="1:13" x14ac:dyDescent="0.25">
      <c r="A11" t="s">
        <v>26</v>
      </c>
      <c r="B11" s="9">
        <v>0</v>
      </c>
      <c r="C11">
        <v>150</v>
      </c>
      <c r="D11" s="9" t="s">
        <v>27</v>
      </c>
      <c r="F11" s="5" t="s">
        <v>3883</v>
      </c>
      <c r="G11" s="5" t="s">
        <v>3884</v>
      </c>
      <c r="H11" s="5" t="s">
        <v>3885</v>
      </c>
      <c r="I11" s="6">
        <v>52</v>
      </c>
    </row>
    <row r="12" spans="1:13" x14ac:dyDescent="0.25">
      <c r="A12" t="s">
        <v>28</v>
      </c>
      <c r="B12" s="9">
        <v>0</v>
      </c>
      <c r="C12">
        <v>150</v>
      </c>
      <c r="D12" s="9" t="s">
        <v>29</v>
      </c>
      <c r="F12" s="5" t="s">
        <v>3886</v>
      </c>
      <c r="G12" s="5" t="s">
        <v>3884</v>
      </c>
      <c r="H12" s="5" t="s">
        <v>3885</v>
      </c>
      <c r="I12" s="6">
        <v>52</v>
      </c>
    </row>
    <row r="13" spans="1:13" x14ac:dyDescent="0.25">
      <c r="A13" t="s">
        <v>30</v>
      </c>
      <c r="B13" s="9">
        <v>0</v>
      </c>
      <c r="C13">
        <v>150</v>
      </c>
      <c r="D13" s="9" t="s">
        <v>31</v>
      </c>
      <c r="F13" s="5" t="s">
        <v>3887</v>
      </c>
      <c r="G13" s="5" t="s">
        <v>3884</v>
      </c>
      <c r="H13" s="5" t="s">
        <v>3885</v>
      </c>
      <c r="I13" s="6">
        <v>52</v>
      </c>
    </row>
    <row r="14" spans="1:13" x14ac:dyDescent="0.25">
      <c r="A14" t="s">
        <v>32</v>
      </c>
      <c r="B14" s="9">
        <v>0</v>
      </c>
      <c r="C14">
        <v>150</v>
      </c>
      <c r="D14" s="9" t="s">
        <v>33</v>
      </c>
      <c r="F14" s="5" t="s">
        <v>3888</v>
      </c>
      <c r="G14" s="5" t="s">
        <v>3884</v>
      </c>
      <c r="H14" s="5" t="s">
        <v>3885</v>
      </c>
      <c r="I14" s="6">
        <v>52</v>
      </c>
    </row>
    <row r="15" spans="1:13" x14ac:dyDescent="0.25">
      <c r="A15" t="s">
        <v>34</v>
      </c>
      <c r="B15" s="9">
        <v>0</v>
      </c>
      <c r="C15">
        <v>150</v>
      </c>
      <c r="D15" s="9" t="s">
        <v>35</v>
      </c>
      <c r="F15" s="5" t="s">
        <v>3889</v>
      </c>
      <c r="G15" s="5" t="s">
        <v>3884</v>
      </c>
      <c r="H15" s="5" t="s">
        <v>3885</v>
      </c>
      <c r="I15" s="6">
        <v>52</v>
      </c>
    </row>
    <row r="16" spans="1:13" x14ac:dyDescent="0.25">
      <c r="A16" t="s">
        <v>36</v>
      </c>
      <c r="B16" s="9">
        <v>0</v>
      </c>
      <c r="C16">
        <v>150</v>
      </c>
      <c r="D16" s="9" t="s">
        <v>37</v>
      </c>
      <c r="F16" s="5" t="s">
        <v>3890</v>
      </c>
      <c r="G16" s="5" t="s">
        <v>3884</v>
      </c>
      <c r="I16" s="6">
        <v>90</v>
      </c>
    </row>
    <row r="17" spans="1:9" x14ac:dyDescent="0.25">
      <c r="A17" t="s">
        <v>38</v>
      </c>
      <c r="B17" s="9">
        <v>0</v>
      </c>
      <c r="C17">
        <v>150</v>
      </c>
      <c r="D17" s="9" t="s">
        <v>39</v>
      </c>
      <c r="F17" s="5" t="s">
        <v>3891</v>
      </c>
      <c r="G17" s="5" t="s">
        <v>3870</v>
      </c>
      <c r="H17" s="5" t="s">
        <v>3892</v>
      </c>
      <c r="I17" s="6">
        <v>88</v>
      </c>
    </row>
    <row r="18" spans="1:9" x14ac:dyDescent="0.25">
      <c r="A18" t="s">
        <v>40</v>
      </c>
      <c r="B18" s="9">
        <v>0</v>
      </c>
      <c r="C18">
        <v>150</v>
      </c>
      <c r="D18" s="9" t="s">
        <v>41</v>
      </c>
      <c r="F18" s="5" t="s">
        <v>3893</v>
      </c>
      <c r="G18" s="5" t="s">
        <v>3894</v>
      </c>
      <c r="H18" s="5" t="s">
        <v>3895</v>
      </c>
      <c r="I18" s="6"/>
    </row>
    <row r="19" spans="1:9" x14ac:dyDescent="0.25">
      <c r="A19" t="s">
        <v>42</v>
      </c>
      <c r="B19" s="9">
        <v>0</v>
      </c>
      <c r="C19">
        <v>150</v>
      </c>
      <c r="D19" s="9" t="s">
        <v>43</v>
      </c>
      <c r="F19" s="5" t="s">
        <v>3896</v>
      </c>
      <c r="G19" s="5" t="s">
        <v>3894</v>
      </c>
      <c r="H19" s="5" t="s">
        <v>3897</v>
      </c>
      <c r="I19" s="6"/>
    </row>
    <row r="20" spans="1:9" x14ac:dyDescent="0.25">
      <c r="A20" t="s">
        <v>44</v>
      </c>
      <c r="B20" s="9">
        <v>0</v>
      </c>
      <c r="C20">
        <v>150</v>
      </c>
      <c r="D20" s="9" t="s">
        <v>45</v>
      </c>
      <c r="F20" s="5" t="s">
        <v>3899</v>
      </c>
      <c r="G20" s="5" t="s">
        <v>3870</v>
      </c>
      <c r="I20" s="6">
        <v>129</v>
      </c>
    </row>
    <row r="21" spans="1:9" x14ac:dyDescent="0.25">
      <c r="A21" t="s">
        <v>46</v>
      </c>
      <c r="B21" s="9">
        <v>-150</v>
      </c>
      <c r="C21">
        <v>150</v>
      </c>
      <c r="D21" s="9" t="s">
        <v>47</v>
      </c>
      <c r="F21" s="5" t="s">
        <v>3900</v>
      </c>
      <c r="G21" s="5" t="s">
        <v>3901</v>
      </c>
      <c r="H21" s="5" t="s">
        <v>3902</v>
      </c>
      <c r="I21" s="6"/>
    </row>
    <row r="22" spans="1:9" x14ac:dyDescent="0.25">
      <c r="A22" t="s">
        <v>48</v>
      </c>
      <c r="B22" s="9">
        <v>0</v>
      </c>
      <c r="C22">
        <v>150</v>
      </c>
      <c r="D22" s="9" t="s">
        <v>49</v>
      </c>
      <c r="F22" s="5" t="s">
        <v>3905</v>
      </c>
      <c r="G22" s="5" t="s">
        <v>3870</v>
      </c>
      <c r="H22" s="5" t="s">
        <v>3906</v>
      </c>
      <c r="I22" s="6"/>
    </row>
    <row r="23" spans="1:9" x14ac:dyDescent="0.25">
      <c r="A23" t="s">
        <v>50</v>
      </c>
      <c r="B23" s="9">
        <v>0</v>
      </c>
      <c r="C23">
        <v>150</v>
      </c>
      <c r="D23" s="9" t="s">
        <v>51</v>
      </c>
      <c r="F23" s="5" t="s">
        <v>3908</v>
      </c>
      <c r="G23" s="5" t="s">
        <v>3878</v>
      </c>
      <c r="I23" s="6">
        <v>67</v>
      </c>
    </row>
    <row r="24" spans="1:9" x14ac:dyDescent="0.25">
      <c r="A24" t="s">
        <v>52</v>
      </c>
      <c r="B24" s="9">
        <v>-150</v>
      </c>
      <c r="C24">
        <v>150</v>
      </c>
      <c r="D24" s="10" t="s">
        <v>6858</v>
      </c>
      <c r="F24" s="5" t="s">
        <v>3909</v>
      </c>
      <c r="G24" s="5" t="s">
        <v>3901</v>
      </c>
      <c r="H24" s="5" t="s">
        <v>3910</v>
      </c>
      <c r="I24" s="6"/>
    </row>
    <row r="25" spans="1:9" x14ac:dyDescent="0.25">
      <c r="A25" t="s">
        <v>53</v>
      </c>
      <c r="B25" s="9">
        <v>0</v>
      </c>
      <c r="C25">
        <v>150</v>
      </c>
      <c r="D25" s="9" t="s">
        <v>54</v>
      </c>
      <c r="F25" s="5" t="s">
        <v>3911</v>
      </c>
      <c r="G25" s="5" t="s">
        <v>3870</v>
      </c>
      <c r="H25" s="5" t="s">
        <v>3912</v>
      </c>
      <c r="I25" s="6">
        <v>106</v>
      </c>
    </row>
    <row r="26" spans="1:9" x14ac:dyDescent="0.25">
      <c r="A26" t="s">
        <v>55</v>
      </c>
      <c r="B26" s="9">
        <v>0</v>
      </c>
      <c r="C26">
        <v>150</v>
      </c>
      <c r="D26" s="9" t="s">
        <v>56</v>
      </c>
      <c r="F26" s="5" t="s">
        <v>3913</v>
      </c>
      <c r="G26" s="5" t="s">
        <v>3884</v>
      </c>
      <c r="I26" s="6">
        <v>23</v>
      </c>
    </row>
    <row r="27" spans="1:9" x14ac:dyDescent="0.25">
      <c r="A27" t="s">
        <v>57</v>
      </c>
      <c r="B27" s="9">
        <v>0</v>
      </c>
      <c r="C27">
        <v>150</v>
      </c>
      <c r="D27" s="9" t="s">
        <v>58</v>
      </c>
      <c r="F27" s="5" t="s">
        <v>3915</v>
      </c>
      <c r="G27" s="5" t="s">
        <v>3894</v>
      </c>
      <c r="H27" s="5" t="s">
        <v>3916</v>
      </c>
      <c r="I27" s="6"/>
    </row>
    <row r="28" spans="1:9" x14ac:dyDescent="0.25">
      <c r="A28" t="s">
        <v>59</v>
      </c>
      <c r="B28" s="9">
        <v>0</v>
      </c>
      <c r="C28">
        <v>150</v>
      </c>
      <c r="D28" s="9" t="s">
        <v>60</v>
      </c>
      <c r="F28" s="5" t="s">
        <v>3917</v>
      </c>
      <c r="G28" s="5" t="s">
        <v>3894</v>
      </c>
      <c r="H28" s="5" t="s">
        <v>3918</v>
      </c>
      <c r="I28" s="6"/>
    </row>
    <row r="29" spans="1:9" x14ac:dyDescent="0.25">
      <c r="A29" t="s">
        <v>61</v>
      </c>
      <c r="B29" s="9">
        <v>0</v>
      </c>
      <c r="C29">
        <v>150</v>
      </c>
      <c r="D29" s="10" t="s">
        <v>6859</v>
      </c>
      <c r="F29" s="5" t="s">
        <v>3919</v>
      </c>
      <c r="G29" s="5" t="s">
        <v>3920</v>
      </c>
      <c r="I29" s="6"/>
    </row>
    <row r="30" spans="1:9" x14ac:dyDescent="0.25">
      <c r="A30" t="s">
        <v>62</v>
      </c>
      <c r="B30" s="9">
        <v>-150</v>
      </c>
      <c r="C30">
        <v>150</v>
      </c>
      <c r="D30" s="9" t="s">
        <v>63</v>
      </c>
      <c r="F30" s="5" t="s">
        <v>3921</v>
      </c>
      <c r="G30" s="5" t="s">
        <v>3922</v>
      </c>
      <c r="H30" s="5" t="s">
        <v>3923</v>
      </c>
      <c r="I30" s="6"/>
    </row>
    <row r="31" spans="1:9" x14ac:dyDescent="0.25">
      <c r="A31" t="s">
        <v>64</v>
      </c>
      <c r="B31" s="9">
        <v>0</v>
      </c>
      <c r="C31">
        <v>150</v>
      </c>
      <c r="D31" s="10" t="s">
        <v>6860</v>
      </c>
      <c r="F31" s="5" t="s">
        <v>3924</v>
      </c>
      <c r="G31" s="5" t="s">
        <v>3920</v>
      </c>
      <c r="H31" s="5" t="s">
        <v>3925</v>
      </c>
      <c r="I31" s="6"/>
    </row>
    <row r="32" spans="1:9" x14ac:dyDescent="0.25">
      <c r="A32" t="s">
        <v>65</v>
      </c>
      <c r="B32" s="9">
        <v>0</v>
      </c>
      <c r="C32">
        <v>150</v>
      </c>
      <c r="D32" s="9" t="s">
        <v>66</v>
      </c>
      <c r="F32" s="5" t="s">
        <v>3926</v>
      </c>
      <c r="G32" s="5" t="s">
        <v>3884</v>
      </c>
      <c r="I32" s="6">
        <v>23</v>
      </c>
    </row>
    <row r="33" spans="1:9" x14ac:dyDescent="0.25">
      <c r="A33" t="s">
        <v>67</v>
      </c>
      <c r="B33" s="9">
        <v>0</v>
      </c>
      <c r="C33">
        <v>150</v>
      </c>
      <c r="D33" s="9" t="s">
        <v>68</v>
      </c>
      <c r="F33" s="5" t="s">
        <v>3929</v>
      </c>
      <c r="G33" s="5" t="s">
        <v>3870</v>
      </c>
      <c r="H33" s="5" t="s">
        <v>3930</v>
      </c>
      <c r="I33" s="6"/>
    </row>
    <row r="34" spans="1:9" x14ac:dyDescent="0.25">
      <c r="A34" t="s">
        <v>69</v>
      </c>
      <c r="B34" s="9">
        <v>-150</v>
      </c>
      <c r="C34">
        <v>150</v>
      </c>
      <c r="D34" s="9" t="s">
        <v>70</v>
      </c>
      <c r="F34" s="5" t="s">
        <v>3931</v>
      </c>
      <c r="G34" s="5" t="s">
        <v>3901</v>
      </c>
      <c r="H34" s="5" t="s">
        <v>3932</v>
      </c>
      <c r="I34" s="6"/>
    </row>
    <row r="35" spans="1:9" x14ac:dyDescent="0.25">
      <c r="A35" t="s">
        <v>71</v>
      </c>
      <c r="B35" s="9">
        <v>0</v>
      </c>
      <c r="C35">
        <v>150</v>
      </c>
      <c r="D35" s="9" t="s">
        <v>72</v>
      </c>
      <c r="F35" s="5" t="s">
        <v>3933</v>
      </c>
      <c r="G35" s="5" t="s">
        <v>3894</v>
      </c>
      <c r="H35" s="5" t="s">
        <v>3934</v>
      </c>
      <c r="I35" s="6"/>
    </row>
    <row r="36" spans="1:9" x14ac:dyDescent="0.25">
      <c r="A36" t="s">
        <v>73</v>
      </c>
      <c r="B36" s="9">
        <v>0</v>
      </c>
      <c r="C36">
        <v>150</v>
      </c>
      <c r="D36" s="9" t="s">
        <v>74</v>
      </c>
      <c r="F36" s="5" t="s">
        <v>3935</v>
      </c>
      <c r="G36" s="5" t="s">
        <v>3936</v>
      </c>
      <c r="I36" s="6" t="s">
        <v>3937</v>
      </c>
    </row>
    <row r="37" spans="1:9" x14ac:dyDescent="0.25">
      <c r="A37" t="s">
        <v>75</v>
      </c>
      <c r="B37" s="9">
        <v>-150</v>
      </c>
      <c r="C37">
        <v>150</v>
      </c>
      <c r="D37" s="9" t="s">
        <v>76</v>
      </c>
      <c r="F37" s="5" t="s">
        <v>3938</v>
      </c>
      <c r="G37" s="5" t="s">
        <v>3939</v>
      </c>
      <c r="H37" s="5" t="s">
        <v>3940</v>
      </c>
      <c r="I37" s="6"/>
    </row>
    <row r="38" spans="1:9" x14ac:dyDescent="0.25">
      <c r="A38" t="s">
        <v>77</v>
      </c>
      <c r="B38" s="9">
        <v>-150</v>
      </c>
      <c r="C38">
        <v>150</v>
      </c>
      <c r="D38" s="9" t="s">
        <v>78</v>
      </c>
      <c r="F38" s="5" t="s">
        <v>3941</v>
      </c>
      <c r="G38" s="5" t="s">
        <v>3894</v>
      </c>
      <c r="H38" s="5" t="s">
        <v>3942</v>
      </c>
      <c r="I38" s="6"/>
    </row>
    <row r="39" spans="1:9" x14ac:dyDescent="0.25">
      <c r="A39" t="s">
        <v>79</v>
      </c>
      <c r="B39" s="9">
        <v>0</v>
      </c>
      <c r="C39">
        <v>150</v>
      </c>
      <c r="D39" s="9" t="s">
        <v>80</v>
      </c>
      <c r="F39" s="5" t="s">
        <v>3943</v>
      </c>
      <c r="G39" s="5" t="s">
        <v>3878</v>
      </c>
      <c r="H39" s="5" t="s">
        <v>3944</v>
      </c>
      <c r="I39" s="6"/>
    </row>
    <row r="40" spans="1:9" x14ac:dyDescent="0.25">
      <c r="A40" t="s">
        <v>81</v>
      </c>
      <c r="B40" s="9">
        <v>0</v>
      </c>
      <c r="C40">
        <v>150</v>
      </c>
      <c r="D40" s="9" t="s">
        <v>82</v>
      </c>
      <c r="F40" s="5" t="s">
        <v>3945</v>
      </c>
      <c r="G40" s="5" t="s">
        <v>3922</v>
      </c>
      <c r="H40" s="5" t="s">
        <v>3946</v>
      </c>
      <c r="I40" s="6"/>
    </row>
    <row r="41" spans="1:9" x14ac:dyDescent="0.25">
      <c r="A41" t="s">
        <v>83</v>
      </c>
      <c r="B41" s="9">
        <v>0</v>
      </c>
      <c r="C41">
        <v>150</v>
      </c>
      <c r="D41" s="9" t="s">
        <v>84</v>
      </c>
      <c r="F41" s="5" t="s">
        <v>3948</v>
      </c>
      <c r="G41" s="5" t="s">
        <v>3949</v>
      </c>
      <c r="H41" s="5" t="s">
        <v>3950</v>
      </c>
      <c r="I41" s="6"/>
    </row>
    <row r="42" spans="1:9" x14ac:dyDescent="0.25">
      <c r="A42" t="s">
        <v>85</v>
      </c>
      <c r="B42" s="9">
        <v>0</v>
      </c>
      <c r="C42">
        <v>150</v>
      </c>
      <c r="D42" s="9" t="s">
        <v>86</v>
      </c>
      <c r="F42" s="5" t="s">
        <v>3951</v>
      </c>
      <c r="G42" s="5" t="s">
        <v>3878</v>
      </c>
      <c r="I42" s="6"/>
    </row>
    <row r="43" spans="1:9" x14ac:dyDescent="0.25">
      <c r="A43" t="s">
        <v>87</v>
      </c>
      <c r="B43" s="9">
        <v>0</v>
      </c>
      <c r="C43">
        <v>150</v>
      </c>
      <c r="D43" s="9" t="s">
        <v>88</v>
      </c>
      <c r="F43" s="5" t="s">
        <v>3952</v>
      </c>
      <c r="G43" s="5" t="s">
        <v>3878</v>
      </c>
      <c r="I43" s="6"/>
    </row>
    <row r="44" spans="1:9" x14ac:dyDescent="0.25">
      <c r="A44" t="s">
        <v>89</v>
      </c>
      <c r="B44" s="9">
        <v>0</v>
      </c>
      <c r="C44">
        <v>150</v>
      </c>
      <c r="D44" s="9" t="s">
        <v>90</v>
      </c>
      <c r="F44" s="5" t="s">
        <v>3953</v>
      </c>
      <c r="G44" s="5" t="s">
        <v>3949</v>
      </c>
      <c r="H44" s="5" t="s">
        <v>3954</v>
      </c>
      <c r="I44" s="6"/>
    </row>
    <row r="45" spans="1:9" x14ac:dyDescent="0.25">
      <c r="A45" t="s">
        <v>91</v>
      </c>
      <c r="B45" s="9">
        <v>-150</v>
      </c>
      <c r="C45">
        <v>150</v>
      </c>
      <c r="D45" s="9" t="s">
        <v>92</v>
      </c>
      <c r="F45" s="5" t="s">
        <v>3956</v>
      </c>
      <c r="G45" s="5" t="s">
        <v>3922</v>
      </c>
      <c r="H45" s="5" t="s">
        <v>3957</v>
      </c>
      <c r="I45" s="6"/>
    </row>
    <row r="46" spans="1:9" x14ac:dyDescent="0.25">
      <c r="A46" t="s">
        <v>93</v>
      </c>
      <c r="B46" s="9">
        <v>-150</v>
      </c>
      <c r="C46">
        <v>150</v>
      </c>
      <c r="D46" s="9" t="s">
        <v>94</v>
      </c>
      <c r="F46" s="5" t="s">
        <v>3958</v>
      </c>
      <c r="G46" s="5" t="s">
        <v>3949</v>
      </c>
      <c r="H46" s="5" t="s">
        <v>3959</v>
      </c>
      <c r="I46" s="6"/>
    </row>
    <row r="47" spans="1:9" x14ac:dyDescent="0.25">
      <c r="A47" t="s">
        <v>95</v>
      </c>
      <c r="B47" s="9">
        <v>-150</v>
      </c>
      <c r="C47">
        <v>150</v>
      </c>
      <c r="D47" s="9" t="s">
        <v>96</v>
      </c>
      <c r="F47" s="5" t="s">
        <v>3960</v>
      </c>
      <c r="G47" s="5" t="s">
        <v>3949</v>
      </c>
      <c r="I47" s="6"/>
    </row>
    <row r="48" spans="1:9" x14ac:dyDescent="0.25">
      <c r="A48" t="s">
        <v>97</v>
      </c>
      <c r="B48" s="9">
        <v>-150</v>
      </c>
      <c r="C48">
        <v>150</v>
      </c>
      <c r="D48" s="9" t="s">
        <v>98</v>
      </c>
      <c r="F48" s="5" t="s">
        <v>3961</v>
      </c>
      <c r="G48" s="5" t="s">
        <v>3949</v>
      </c>
      <c r="I48" s="6"/>
    </row>
    <row r="49" spans="1:13" x14ac:dyDescent="0.25">
      <c r="A49" t="s">
        <v>99</v>
      </c>
      <c r="B49" s="10">
        <v>-150</v>
      </c>
      <c r="C49">
        <v>150</v>
      </c>
      <c r="D49" s="9" t="s">
        <v>6861</v>
      </c>
      <c r="F49" s="5" t="s">
        <v>3962</v>
      </c>
      <c r="G49" s="5" t="s">
        <v>3894</v>
      </c>
      <c r="H49" s="5" t="s">
        <v>3963</v>
      </c>
      <c r="I49" s="6"/>
    </row>
    <row r="50" spans="1:13" x14ac:dyDescent="0.25">
      <c r="A50" t="s">
        <v>100</v>
      </c>
      <c r="B50" s="9">
        <v>0</v>
      </c>
      <c r="C50">
        <v>150</v>
      </c>
      <c r="D50" s="9" t="s">
        <v>101</v>
      </c>
      <c r="F50" s="5" t="s">
        <v>3964</v>
      </c>
      <c r="G50" s="5" t="s">
        <v>3949</v>
      </c>
      <c r="H50" s="5" t="s">
        <v>3965</v>
      </c>
      <c r="I50" s="6">
        <v>58</v>
      </c>
    </row>
    <row r="51" spans="1:13" x14ac:dyDescent="0.25">
      <c r="A51" t="s">
        <v>102</v>
      </c>
      <c r="B51" s="9">
        <v>0</v>
      </c>
      <c r="C51">
        <v>150</v>
      </c>
      <c r="D51" s="9" t="s">
        <v>103</v>
      </c>
      <c r="F51" s="5" t="s">
        <v>3966</v>
      </c>
      <c r="G51" s="5" t="s">
        <v>3949</v>
      </c>
      <c r="H51" s="5" t="s">
        <v>3967</v>
      </c>
      <c r="I51" s="6"/>
    </row>
    <row r="52" spans="1:13" x14ac:dyDescent="0.25">
      <c r="A52" t="s">
        <v>104</v>
      </c>
      <c r="B52" s="9">
        <v>0</v>
      </c>
      <c r="C52">
        <v>150</v>
      </c>
      <c r="D52" s="9" t="s">
        <v>105</v>
      </c>
      <c r="F52" s="5" t="s">
        <v>3969</v>
      </c>
      <c r="G52" s="5" t="s">
        <v>3878</v>
      </c>
      <c r="I52" s="6">
        <v>67</v>
      </c>
    </row>
    <row r="53" spans="1:13" x14ac:dyDescent="0.25">
      <c r="A53" t="s">
        <v>106</v>
      </c>
      <c r="B53" s="9">
        <v>0</v>
      </c>
      <c r="C53">
        <v>150</v>
      </c>
      <c r="D53" s="9" t="s">
        <v>107</v>
      </c>
      <c r="F53" s="5" t="s">
        <v>3970</v>
      </c>
      <c r="G53" s="5" t="s">
        <v>3878</v>
      </c>
      <c r="I53" s="6">
        <v>67</v>
      </c>
    </row>
    <row r="54" spans="1:13" x14ac:dyDescent="0.25">
      <c r="A54" t="s">
        <v>108</v>
      </c>
      <c r="B54" s="9">
        <v>0</v>
      </c>
      <c r="C54">
        <v>150</v>
      </c>
      <c r="D54" s="9" t="s">
        <v>109</v>
      </c>
      <c r="F54" s="5" t="s">
        <v>3971</v>
      </c>
      <c r="G54" s="5" t="s">
        <v>3949</v>
      </c>
      <c r="H54" s="5" t="s">
        <v>3972</v>
      </c>
      <c r="I54" s="6"/>
    </row>
    <row r="55" spans="1:13" x14ac:dyDescent="0.25">
      <c r="A55" t="s">
        <v>110</v>
      </c>
      <c r="B55" s="9">
        <v>0</v>
      </c>
      <c r="C55">
        <v>150</v>
      </c>
      <c r="D55" s="9" t="s">
        <v>111</v>
      </c>
      <c r="F55" s="5" t="s">
        <v>3973</v>
      </c>
      <c r="G55" s="5" t="s">
        <v>3974</v>
      </c>
      <c r="H55" s="5" t="s">
        <v>3975</v>
      </c>
      <c r="I55" s="6"/>
    </row>
    <row r="56" spans="1:13" x14ac:dyDescent="0.25">
      <c r="A56" t="s">
        <v>112</v>
      </c>
      <c r="B56" s="9">
        <v>-150</v>
      </c>
      <c r="C56">
        <v>150</v>
      </c>
      <c r="D56" s="9" t="s">
        <v>113</v>
      </c>
      <c r="F56" s="5" t="s">
        <v>3976</v>
      </c>
      <c r="G56" s="5" t="s">
        <v>3977</v>
      </c>
      <c r="H56" s="5" t="s">
        <v>3978</v>
      </c>
      <c r="I56" s="6"/>
    </row>
    <row r="57" spans="1:13" x14ac:dyDescent="0.25">
      <c r="A57" t="s">
        <v>114</v>
      </c>
      <c r="B57" s="9">
        <v>-150</v>
      </c>
      <c r="C57">
        <v>150</v>
      </c>
      <c r="D57" s="9" t="s">
        <v>115</v>
      </c>
      <c r="F57" s="5" t="s">
        <v>3979</v>
      </c>
      <c r="G57" s="5" t="s">
        <v>3977</v>
      </c>
      <c r="H57" s="5" t="s">
        <v>3978</v>
      </c>
      <c r="I57" s="6"/>
    </row>
    <row r="58" spans="1:13" x14ac:dyDescent="0.25">
      <c r="A58" t="s">
        <v>116</v>
      </c>
      <c r="B58" s="9">
        <v>0</v>
      </c>
      <c r="C58">
        <v>150</v>
      </c>
      <c r="D58" s="9" t="s">
        <v>117</v>
      </c>
      <c r="F58" s="5" t="s">
        <v>3980</v>
      </c>
      <c r="G58" s="5" t="s">
        <v>3977</v>
      </c>
      <c r="H58" s="5" t="s">
        <v>3981</v>
      </c>
      <c r="I58" s="6"/>
    </row>
    <row r="59" spans="1:13" x14ac:dyDescent="0.25">
      <c r="A59" t="s">
        <v>118</v>
      </c>
      <c r="B59" s="9">
        <v>0</v>
      </c>
      <c r="C59">
        <v>150</v>
      </c>
      <c r="D59" s="9" t="s">
        <v>119</v>
      </c>
      <c r="F59" s="5" t="s">
        <v>3982</v>
      </c>
      <c r="G59" s="5" t="s">
        <v>3870</v>
      </c>
      <c r="H59" s="5" t="s">
        <v>3983</v>
      </c>
      <c r="I59" s="6"/>
    </row>
    <row r="60" spans="1:13" x14ac:dyDescent="0.25">
      <c r="A60" t="s">
        <v>120</v>
      </c>
      <c r="B60" s="9">
        <v>0</v>
      </c>
      <c r="C60">
        <v>150</v>
      </c>
      <c r="D60" s="9" t="s">
        <v>121</v>
      </c>
      <c r="F60" s="5" t="s">
        <v>3984</v>
      </c>
      <c r="G60" s="5" t="s">
        <v>3884</v>
      </c>
      <c r="H60" s="5" t="s">
        <v>3985</v>
      </c>
      <c r="I60" s="6">
        <v>63</v>
      </c>
      <c r="M60" s="20"/>
    </row>
    <row r="61" spans="1:13" x14ac:dyDescent="0.25">
      <c r="A61" t="s">
        <v>122</v>
      </c>
      <c r="B61" s="9">
        <v>0</v>
      </c>
      <c r="C61">
        <v>150</v>
      </c>
      <c r="D61" s="9" t="s">
        <v>123</v>
      </c>
      <c r="F61" s="5" t="s">
        <v>3986</v>
      </c>
      <c r="G61" s="5" t="s">
        <v>3894</v>
      </c>
      <c r="H61" s="5" t="s">
        <v>3987</v>
      </c>
      <c r="I61" s="6"/>
    </row>
    <row r="62" spans="1:13" x14ac:dyDescent="0.25">
      <c r="A62" t="s">
        <v>124</v>
      </c>
      <c r="B62" s="9">
        <v>-150</v>
      </c>
      <c r="C62">
        <v>150</v>
      </c>
      <c r="D62" s="9" t="s">
        <v>125</v>
      </c>
      <c r="F62" s="5" t="s">
        <v>3988</v>
      </c>
      <c r="G62" s="5" t="s">
        <v>3894</v>
      </c>
      <c r="H62" s="5" t="s">
        <v>3989</v>
      </c>
      <c r="I62" s="6"/>
    </row>
    <row r="63" spans="1:13" x14ac:dyDescent="0.25">
      <c r="A63" t="s">
        <v>126</v>
      </c>
      <c r="B63" s="9">
        <v>-150</v>
      </c>
      <c r="C63">
        <v>150</v>
      </c>
      <c r="D63" s="9" t="s">
        <v>127</v>
      </c>
      <c r="F63" s="5" t="s">
        <v>3990</v>
      </c>
      <c r="G63" s="5" t="s">
        <v>3991</v>
      </c>
      <c r="H63" s="5" t="s">
        <v>3992</v>
      </c>
      <c r="I63" s="6">
        <v>115</v>
      </c>
    </row>
    <row r="64" spans="1:13" x14ac:dyDescent="0.25">
      <c r="A64" t="s">
        <v>128</v>
      </c>
      <c r="B64" s="9">
        <v>0</v>
      </c>
      <c r="C64">
        <v>150</v>
      </c>
      <c r="D64" s="9" t="s">
        <v>129</v>
      </c>
      <c r="F64" s="5" t="s">
        <v>3993</v>
      </c>
      <c r="G64" s="5" t="s">
        <v>3991</v>
      </c>
      <c r="H64" s="5" t="s">
        <v>3994</v>
      </c>
      <c r="I64" s="7">
        <v>21115</v>
      </c>
    </row>
    <row r="65" spans="1:9" x14ac:dyDescent="0.25">
      <c r="A65" t="s">
        <v>130</v>
      </c>
      <c r="B65" s="9">
        <v>-150</v>
      </c>
      <c r="C65">
        <v>150</v>
      </c>
      <c r="D65" s="9" t="s">
        <v>131</v>
      </c>
      <c r="F65" s="5" t="s">
        <v>3995</v>
      </c>
      <c r="G65" s="5" t="s">
        <v>3977</v>
      </c>
      <c r="H65" s="5" t="s">
        <v>3996</v>
      </c>
      <c r="I65" s="6"/>
    </row>
    <row r="66" spans="1:9" x14ac:dyDescent="0.25">
      <c r="A66" t="s">
        <v>132</v>
      </c>
      <c r="B66" s="9">
        <v>0</v>
      </c>
      <c r="C66">
        <v>150</v>
      </c>
      <c r="D66" s="9" t="s">
        <v>6862</v>
      </c>
      <c r="F66" s="5" t="s">
        <v>3997</v>
      </c>
      <c r="G66" s="5" t="s">
        <v>3977</v>
      </c>
      <c r="I66" s="6">
        <v>73</v>
      </c>
    </row>
    <row r="67" spans="1:9" x14ac:dyDescent="0.25">
      <c r="A67" t="s">
        <v>133</v>
      </c>
      <c r="B67" s="9">
        <v>-150</v>
      </c>
      <c r="C67">
        <v>150</v>
      </c>
      <c r="D67" s="9" t="s">
        <v>134</v>
      </c>
      <c r="F67" s="5" t="s">
        <v>3998</v>
      </c>
      <c r="G67" s="5" t="s">
        <v>3977</v>
      </c>
      <c r="I67" s="6">
        <v>73</v>
      </c>
    </row>
    <row r="68" spans="1:9" x14ac:dyDescent="0.25">
      <c r="A68" t="s">
        <v>135</v>
      </c>
      <c r="B68" s="9">
        <v>-150</v>
      </c>
      <c r="C68">
        <v>150</v>
      </c>
      <c r="D68" s="9" t="s">
        <v>136</v>
      </c>
      <c r="F68" s="5" t="s">
        <v>4001</v>
      </c>
      <c r="G68" s="5" t="s">
        <v>3884</v>
      </c>
      <c r="H68" s="5" t="s">
        <v>4002</v>
      </c>
      <c r="I68" s="6"/>
    </row>
    <row r="69" spans="1:9" x14ac:dyDescent="0.25">
      <c r="A69" t="s">
        <v>137</v>
      </c>
      <c r="B69" s="9">
        <v>-150</v>
      </c>
      <c r="C69">
        <v>150</v>
      </c>
      <c r="D69" s="9" t="s">
        <v>138</v>
      </c>
      <c r="F69" s="5" t="s">
        <v>4003</v>
      </c>
      <c r="G69" s="5" t="s">
        <v>4004</v>
      </c>
      <c r="H69" s="5" t="s">
        <v>4005</v>
      </c>
      <c r="I69" s="6"/>
    </row>
    <row r="70" spans="1:9" x14ac:dyDescent="0.25">
      <c r="A70" t="s">
        <v>139</v>
      </c>
      <c r="B70" s="9">
        <v>0</v>
      </c>
      <c r="C70">
        <v>150</v>
      </c>
      <c r="D70" s="9" t="s">
        <v>140</v>
      </c>
      <c r="F70" s="5" t="s">
        <v>4008</v>
      </c>
      <c r="G70" s="5" t="s">
        <v>3878</v>
      </c>
      <c r="I70" s="6">
        <v>98</v>
      </c>
    </row>
    <row r="71" spans="1:9" x14ac:dyDescent="0.25">
      <c r="A71" t="s">
        <v>141</v>
      </c>
      <c r="B71" s="9">
        <v>-150</v>
      </c>
      <c r="C71">
        <v>150</v>
      </c>
      <c r="D71" s="9" t="s">
        <v>142</v>
      </c>
      <c r="F71" s="5" t="s">
        <v>4009</v>
      </c>
      <c r="G71" s="5" t="s">
        <v>4004</v>
      </c>
      <c r="H71" s="5" t="s">
        <v>4010</v>
      </c>
      <c r="I71" s="6"/>
    </row>
    <row r="72" spans="1:9" x14ac:dyDescent="0.25">
      <c r="A72" t="s">
        <v>143</v>
      </c>
      <c r="B72" s="9">
        <v>0</v>
      </c>
      <c r="C72">
        <v>150</v>
      </c>
      <c r="D72" s="9" t="s">
        <v>144</v>
      </c>
      <c r="F72" s="5" t="s">
        <v>4011</v>
      </c>
      <c r="G72" s="5" t="s">
        <v>3878</v>
      </c>
      <c r="I72" s="6"/>
    </row>
    <row r="73" spans="1:9" x14ac:dyDescent="0.25">
      <c r="A73" t="s">
        <v>145</v>
      </c>
      <c r="B73" s="9">
        <v>-150</v>
      </c>
      <c r="C73">
        <v>150</v>
      </c>
      <c r="D73" s="9" t="s">
        <v>146</v>
      </c>
      <c r="F73" s="5" t="s">
        <v>4012</v>
      </c>
      <c r="G73" s="5" t="s">
        <v>3870</v>
      </c>
      <c r="H73" s="5" t="s">
        <v>4013</v>
      </c>
      <c r="I73" s="6"/>
    </row>
    <row r="74" spans="1:9" x14ac:dyDescent="0.25">
      <c r="A74" t="s">
        <v>147</v>
      </c>
      <c r="B74" s="9">
        <v>0</v>
      </c>
      <c r="C74">
        <v>150</v>
      </c>
      <c r="D74" s="9" t="s">
        <v>148</v>
      </c>
      <c r="F74" s="5" t="s">
        <v>4014</v>
      </c>
      <c r="G74" s="5" t="s">
        <v>3870</v>
      </c>
      <c r="H74" s="5" t="s">
        <v>4015</v>
      </c>
      <c r="I74" s="6" t="s">
        <v>4016</v>
      </c>
    </row>
    <row r="75" spans="1:9" x14ac:dyDescent="0.25">
      <c r="A75" t="s">
        <v>149</v>
      </c>
      <c r="B75" s="9">
        <v>0</v>
      </c>
      <c r="C75">
        <v>150</v>
      </c>
      <c r="D75" s="9" t="s">
        <v>150</v>
      </c>
      <c r="F75" s="5" t="s">
        <v>4017</v>
      </c>
      <c r="G75" s="5" t="s">
        <v>3870</v>
      </c>
      <c r="H75" s="5" t="s">
        <v>4018</v>
      </c>
      <c r="I75" s="6"/>
    </row>
    <row r="76" spans="1:9" x14ac:dyDescent="0.25">
      <c r="A76" t="s">
        <v>151</v>
      </c>
      <c r="B76" s="9">
        <v>0</v>
      </c>
      <c r="C76">
        <v>150</v>
      </c>
      <c r="D76" s="9" t="s">
        <v>152</v>
      </c>
      <c r="F76" s="5" t="s">
        <v>4019</v>
      </c>
      <c r="G76" s="5" t="s">
        <v>4020</v>
      </c>
      <c r="H76" s="5" t="s">
        <v>4021</v>
      </c>
      <c r="I76" s="6">
        <v>22</v>
      </c>
    </row>
    <row r="77" spans="1:9" x14ac:dyDescent="0.25">
      <c r="A77" s="1" t="s">
        <v>2371</v>
      </c>
      <c r="B77" s="9">
        <v>0</v>
      </c>
      <c r="C77">
        <v>150</v>
      </c>
      <c r="D77" s="9" t="s">
        <v>154</v>
      </c>
      <c r="F77" s="5" t="s">
        <v>4022</v>
      </c>
      <c r="G77" s="5" t="s">
        <v>4020</v>
      </c>
      <c r="H77" s="5" t="s">
        <v>4023</v>
      </c>
      <c r="I77" s="6">
        <v>22</v>
      </c>
    </row>
    <row r="78" spans="1:9" x14ac:dyDescent="0.25">
      <c r="A78" t="s">
        <v>155</v>
      </c>
      <c r="B78" s="9">
        <v>0</v>
      </c>
      <c r="C78">
        <v>150</v>
      </c>
      <c r="D78" s="9" t="s">
        <v>156</v>
      </c>
      <c r="F78" s="5" t="s">
        <v>4025</v>
      </c>
      <c r="G78" s="5" t="s">
        <v>3870</v>
      </c>
      <c r="H78" s="5" t="s">
        <v>4026</v>
      </c>
      <c r="I78" s="6">
        <v>132</v>
      </c>
    </row>
    <row r="79" spans="1:9" x14ac:dyDescent="0.25">
      <c r="A79" t="s">
        <v>157</v>
      </c>
      <c r="B79" s="9">
        <v>0</v>
      </c>
      <c r="C79">
        <v>150</v>
      </c>
      <c r="D79" s="9" t="s">
        <v>158</v>
      </c>
      <c r="F79" s="5" t="s">
        <v>4027</v>
      </c>
      <c r="G79" s="5" t="s">
        <v>3870</v>
      </c>
      <c r="H79" s="5" t="s">
        <v>4028</v>
      </c>
      <c r="I79" s="6">
        <v>10</v>
      </c>
    </row>
    <row r="80" spans="1:9" x14ac:dyDescent="0.25">
      <c r="A80" t="s">
        <v>159</v>
      </c>
      <c r="B80" s="9">
        <v>0</v>
      </c>
      <c r="C80">
        <v>150</v>
      </c>
      <c r="D80" s="9" t="s">
        <v>160</v>
      </c>
      <c r="F80" s="5" t="s">
        <v>4029</v>
      </c>
      <c r="G80" s="5" t="s">
        <v>3870</v>
      </c>
      <c r="H80" s="5" t="s">
        <v>4028</v>
      </c>
      <c r="I80" s="6">
        <v>10</v>
      </c>
    </row>
    <row r="81" spans="1:9" x14ac:dyDescent="0.25">
      <c r="A81" t="s">
        <v>161</v>
      </c>
      <c r="B81" s="9">
        <v>0</v>
      </c>
      <c r="C81">
        <v>150</v>
      </c>
      <c r="D81" s="9" t="s">
        <v>162</v>
      </c>
      <c r="F81" s="5" t="s">
        <v>4030</v>
      </c>
      <c r="G81" s="5" t="s">
        <v>3870</v>
      </c>
      <c r="H81" s="5" t="s">
        <v>4028</v>
      </c>
      <c r="I81" s="6">
        <v>10</v>
      </c>
    </row>
    <row r="82" spans="1:9" x14ac:dyDescent="0.25">
      <c r="A82" t="s">
        <v>163</v>
      </c>
      <c r="B82" s="9">
        <v>0</v>
      </c>
      <c r="C82">
        <v>150</v>
      </c>
      <c r="D82" s="9" t="s">
        <v>164</v>
      </c>
      <c r="F82" s="5" t="s">
        <v>4031</v>
      </c>
      <c r="G82" s="5" t="s">
        <v>3870</v>
      </c>
      <c r="H82" s="5" t="s">
        <v>4028</v>
      </c>
      <c r="I82" s="6">
        <v>10</v>
      </c>
    </row>
    <row r="83" spans="1:9" x14ac:dyDescent="0.25">
      <c r="A83" t="s">
        <v>165</v>
      </c>
      <c r="B83" s="9">
        <v>0</v>
      </c>
      <c r="C83">
        <v>150</v>
      </c>
      <c r="D83" s="9" t="s">
        <v>166</v>
      </c>
      <c r="F83" s="5" t="s">
        <v>4032</v>
      </c>
      <c r="G83" s="5" t="s">
        <v>4033</v>
      </c>
      <c r="I83" s="6">
        <v>84</v>
      </c>
    </row>
    <row r="84" spans="1:9" x14ac:dyDescent="0.25">
      <c r="A84" t="s">
        <v>167</v>
      </c>
      <c r="B84" s="9">
        <v>0</v>
      </c>
      <c r="C84">
        <v>150</v>
      </c>
      <c r="D84" s="9" t="s">
        <v>168</v>
      </c>
      <c r="F84" s="5" t="s">
        <v>4034</v>
      </c>
      <c r="G84" s="5" t="s">
        <v>4033</v>
      </c>
      <c r="H84" s="5" t="s">
        <v>4035</v>
      </c>
      <c r="I84" s="6">
        <v>84</v>
      </c>
    </row>
    <row r="85" spans="1:9" x14ac:dyDescent="0.25">
      <c r="A85" t="s">
        <v>169</v>
      </c>
      <c r="B85" s="9">
        <v>-150</v>
      </c>
      <c r="C85">
        <v>150</v>
      </c>
      <c r="D85" s="9" t="s">
        <v>170</v>
      </c>
      <c r="F85" s="5" t="s">
        <v>4036</v>
      </c>
      <c r="G85" s="5" t="s">
        <v>3878</v>
      </c>
      <c r="H85" s="5" t="s">
        <v>4037</v>
      </c>
      <c r="I85" s="6"/>
    </row>
    <row r="86" spans="1:9" x14ac:dyDescent="0.25">
      <c r="A86" t="s">
        <v>171</v>
      </c>
      <c r="B86" s="9">
        <v>0</v>
      </c>
      <c r="C86">
        <v>150</v>
      </c>
      <c r="D86" s="9" t="s">
        <v>172</v>
      </c>
      <c r="F86" s="5" t="s">
        <v>4038</v>
      </c>
      <c r="G86" s="5" t="s">
        <v>3878</v>
      </c>
      <c r="I86" s="6"/>
    </row>
    <row r="87" spans="1:9" x14ac:dyDescent="0.25">
      <c r="A87" t="s">
        <v>173</v>
      </c>
      <c r="B87" s="9">
        <v>0</v>
      </c>
      <c r="C87">
        <v>150</v>
      </c>
      <c r="D87" s="9" t="s">
        <v>174</v>
      </c>
      <c r="F87" s="5" t="s">
        <v>4039</v>
      </c>
      <c r="G87" s="5" t="s">
        <v>3878</v>
      </c>
      <c r="I87" s="6"/>
    </row>
    <row r="88" spans="1:9" x14ac:dyDescent="0.25">
      <c r="A88" t="s">
        <v>175</v>
      </c>
      <c r="B88" s="9">
        <v>0</v>
      </c>
      <c r="C88">
        <v>150</v>
      </c>
      <c r="D88" s="9" t="s">
        <v>176</v>
      </c>
      <c r="F88" s="5" t="s">
        <v>4040</v>
      </c>
      <c r="G88" s="5" t="s">
        <v>3949</v>
      </c>
      <c r="H88" s="5" t="s">
        <v>4041</v>
      </c>
      <c r="I88" s="6"/>
    </row>
    <row r="89" spans="1:9" x14ac:dyDescent="0.25">
      <c r="A89" t="s">
        <v>177</v>
      </c>
      <c r="B89" s="9">
        <v>0</v>
      </c>
      <c r="C89">
        <v>150</v>
      </c>
      <c r="D89" s="9" t="s">
        <v>178</v>
      </c>
      <c r="F89" s="5" t="s">
        <v>4042</v>
      </c>
      <c r="G89" s="5" t="s">
        <v>4043</v>
      </c>
      <c r="H89" s="5" t="s">
        <v>4044</v>
      </c>
      <c r="I89" s="6"/>
    </row>
    <row r="90" spans="1:9" x14ac:dyDescent="0.25">
      <c r="A90" t="s">
        <v>179</v>
      </c>
      <c r="B90" s="9">
        <v>0</v>
      </c>
      <c r="C90">
        <v>150</v>
      </c>
      <c r="D90" s="9" t="s">
        <v>180</v>
      </c>
      <c r="F90" s="5" t="s">
        <v>4045</v>
      </c>
      <c r="G90" s="5" t="s">
        <v>4043</v>
      </c>
      <c r="H90" s="5" t="s">
        <v>4046</v>
      </c>
      <c r="I90" s="6"/>
    </row>
    <row r="91" spans="1:9" x14ac:dyDescent="0.25">
      <c r="A91" t="s">
        <v>181</v>
      </c>
      <c r="B91" s="9">
        <v>-150</v>
      </c>
      <c r="C91">
        <v>150</v>
      </c>
      <c r="D91" s="9" t="s">
        <v>6863</v>
      </c>
      <c r="F91" s="5" t="s">
        <v>4047</v>
      </c>
      <c r="G91" s="5" t="s">
        <v>3878</v>
      </c>
      <c r="H91" s="5" t="s">
        <v>4048</v>
      </c>
      <c r="I91" s="6"/>
    </row>
    <row r="92" spans="1:9" x14ac:dyDescent="0.25">
      <c r="A92" t="s">
        <v>182</v>
      </c>
      <c r="B92" s="9">
        <v>0</v>
      </c>
      <c r="C92">
        <v>150</v>
      </c>
      <c r="D92" s="9" t="s">
        <v>183</v>
      </c>
      <c r="F92" s="5" t="s">
        <v>4049</v>
      </c>
      <c r="G92" s="5" t="s">
        <v>3949</v>
      </c>
      <c r="H92" s="5" t="s">
        <v>4050</v>
      </c>
      <c r="I92" s="6">
        <v>41</v>
      </c>
    </row>
    <row r="93" spans="1:9" x14ac:dyDescent="0.25">
      <c r="A93" t="s">
        <v>184</v>
      </c>
      <c r="B93" s="9">
        <v>0</v>
      </c>
      <c r="C93">
        <v>150</v>
      </c>
      <c r="D93" s="9" t="s">
        <v>185</v>
      </c>
      <c r="F93" s="5" t="s">
        <v>4051</v>
      </c>
      <c r="G93" s="5" t="s">
        <v>3949</v>
      </c>
      <c r="I93" s="6">
        <v>41</v>
      </c>
    </row>
    <row r="94" spans="1:9" x14ac:dyDescent="0.25">
      <c r="A94" t="s">
        <v>186</v>
      </c>
      <c r="B94" s="9">
        <v>0</v>
      </c>
      <c r="C94">
        <v>150</v>
      </c>
      <c r="D94" s="9" t="s">
        <v>187</v>
      </c>
      <c r="F94" s="5" t="s">
        <v>4052</v>
      </c>
      <c r="G94" s="5" t="s">
        <v>3878</v>
      </c>
      <c r="H94" s="5" t="s">
        <v>4053</v>
      </c>
      <c r="I94" s="6"/>
    </row>
    <row r="95" spans="1:9" x14ac:dyDescent="0.25">
      <c r="A95" t="s">
        <v>188</v>
      </c>
      <c r="B95" s="9">
        <v>-150</v>
      </c>
      <c r="C95">
        <v>150</v>
      </c>
      <c r="D95" s="9" t="s">
        <v>189</v>
      </c>
      <c r="F95" s="5" t="s">
        <v>4054</v>
      </c>
      <c r="G95" s="5" t="s">
        <v>3870</v>
      </c>
      <c r="H95" s="5" t="s">
        <v>4055</v>
      </c>
      <c r="I95" s="6"/>
    </row>
    <row r="96" spans="1:9" x14ac:dyDescent="0.25">
      <c r="A96" t="s">
        <v>190</v>
      </c>
      <c r="B96" s="9">
        <v>0</v>
      </c>
      <c r="C96">
        <v>150</v>
      </c>
      <c r="D96" s="9" t="s">
        <v>6923</v>
      </c>
      <c r="F96" s="5" t="s">
        <v>4059</v>
      </c>
      <c r="G96" s="5" t="s">
        <v>3894</v>
      </c>
      <c r="H96" s="5" t="s">
        <v>4060</v>
      </c>
      <c r="I96" s="6"/>
    </row>
    <row r="97" spans="1:9" x14ac:dyDescent="0.25">
      <c r="A97" t="s">
        <v>191</v>
      </c>
      <c r="B97" s="9">
        <v>-150</v>
      </c>
      <c r="C97">
        <v>150</v>
      </c>
      <c r="D97" s="9" t="s">
        <v>192</v>
      </c>
      <c r="F97" s="5" t="s">
        <v>4062</v>
      </c>
      <c r="G97" s="5" t="s">
        <v>3894</v>
      </c>
      <c r="H97" s="5" t="s">
        <v>4063</v>
      </c>
      <c r="I97" s="6"/>
    </row>
    <row r="98" spans="1:9" x14ac:dyDescent="0.25">
      <c r="A98" t="s">
        <v>193</v>
      </c>
      <c r="B98" s="9">
        <v>0</v>
      </c>
      <c r="C98">
        <v>150</v>
      </c>
      <c r="D98" s="9" t="s">
        <v>194</v>
      </c>
      <c r="F98" s="5" t="s">
        <v>4064</v>
      </c>
      <c r="G98" s="5" t="s">
        <v>3894</v>
      </c>
      <c r="H98" s="5" t="s">
        <v>4065</v>
      </c>
      <c r="I98" s="6"/>
    </row>
    <row r="99" spans="1:9" x14ac:dyDescent="0.25">
      <c r="A99" t="s">
        <v>195</v>
      </c>
      <c r="B99" s="9">
        <v>-150</v>
      </c>
      <c r="C99">
        <v>150</v>
      </c>
      <c r="D99" s="9" t="s">
        <v>196</v>
      </c>
      <c r="F99" s="5" t="s">
        <v>4066</v>
      </c>
      <c r="G99" s="5" t="s">
        <v>4067</v>
      </c>
      <c r="H99" s="5" t="s">
        <v>4068</v>
      </c>
      <c r="I99" s="6"/>
    </row>
    <row r="100" spans="1:9" x14ac:dyDescent="0.25">
      <c r="A100" t="s">
        <v>197</v>
      </c>
      <c r="B100" s="9">
        <v>0</v>
      </c>
      <c r="C100">
        <v>150</v>
      </c>
      <c r="D100" s="9" t="s">
        <v>198</v>
      </c>
      <c r="F100" s="5" t="s">
        <v>4070</v>
      </c>
      <c r="G100" s="5" t="s">
        <v>4004</v>
      </c>
      <c r="H100" s="5" t="s">
        <v>4071</v>
      </c>
      <c r="I100" s="6"/>
    </row>
    <row r="101" spans="1:9" x14ac:dyDescent="0.25">
      <c r="A101" t="s">
        <v>199</v>
      </c>
      <c r="B101" s="9">
        <v>0</v>
      </c>
      <c r="C101">
        <v>150</v>
      </c>
      <c r="D101" s="9" t="s">
        <v>200</v>
      </c>
      <c r="F101" s="5" t="s">
        <v>4072</v>
      </c>
      <c r="G101" s="5" t="s">
        <v>4004</v>
      </c>
      <c r="H101" s="5" t="s">
        <v>4073</v>
      </c>
      <c r="I101" s="6"/>
    </row>
    <row r="102" spans="1:9" x14ac:dyDescent="0.25">
      <c r="A102" t="s">
        <v>201</v>
      </c>
      <c r="B102" s="9">
        <v>0</v>
      </c>
      <c r="C102">
        <v>150</v>
      </c>
      <c r="D102" s="9" t="s">
        <v>202</v>
      </c>
      <c r="F102" s="5" t="s">
        <v>4074</v>
      </c>
      <c r="G102" s="5" t="s">
        <v>4004</v>
      </c>
      <c r="H102" s="5" t="s">
        <v>4075</v>
      </c>
      <c r="I102" s="6"/>
    </row>
    <row r="103" spans="1:9" x14ac:dyDescent="0.25">
      <c r="A103" t="s">
        <v>203</v>
      </c>
      <c r="B103" s="9">
        <v>0</v>
      </c>
      <c r="C103">
        <v>150</v>
      </c>
      <c r="D103" s="9" t="s">
        <v>6864</v>
      </c>
      <c r="F103" s="5" t="s">
        <v>4077</v>
      </c>
      <c r="G103" s="5" t="s">
        <v>3878</v>
      </c>
      <c r="H103" s="5" t="s">
        <v>4078</v>
      </c>
      <c r="I103" s="6"/>
    </row>
    <row r="104" spans="1:9" x14ac:dyDescent="0.25">
      <c r="A104" t="s">
        <v>204</v>
      </c>
      <c r="B104" s="9">
        <v>0</v>
      </c>
      <c r="C104">
        <v>150</v>
      </c>
      <c r="D104" s="9" t="s">
        <v>205</v>
      </c>
      <c r="F104" s="5" t="s">
        <v>4080</v>
      </c>
      <c r="G104" s="5" t="s">
        <v>3977</v>
      </c>
      <c r="H104" s="5" t="s">
        <v>4081</v>
      </c>
      <c r="I104" s="6"/>
    </row>
    <row r="105" spans="1:9" x14ac:dyDescent="0.25">
      <c r="A105" t="s">
        <v>206</v>
      </c>
      <c r="B105" s="9">
        <v>-150</v>
      </c>
      <c r="C105">
        <v>150</v>
      </c>
      <c r="D105" s="9" t="s">
        <v>207</v>
      </c>
      <c r="F105" s="5" t="s">
        <v>4082</v>
      </c>
      <c r="G105" s="5" t="s">
        <v>4067</v>
      </c>
      <c r="H105" s="5" t="s">
        <v>4083</v>
      </c>
      <c r="I105" s="6"/>
    </row>
    <row r="106" spans="1:9" x14ac:dyDescent="0.25">
      <c r="A106" t="s">
        <v>208</v>
      </c>
      <c r="B106" s="9">
        <v>0</v>
      </c>
      <c r="C106">
        <v>150</v>
      </c>
      <c r="D106" s="9" t="s">
        <v>209</v>
      </c>
      <c r="F106" s="5" t="s">
        <v>4084</v>
      </c>
      <c r="G106" s="5" t="s">
        <v>3878</v>
      </c>
      <c r="I106" s="6"/>
    </row>
    <row r="107" spans="1:9" x14ac:dyDescent="0.25">
      <c r="A107" t="s">
        <v>210</v>
      </c>
      <c r="B107" s="9">
        <v>0</v>
      </c>
      <c r="C107">
        <v>150</v>
      </c>
      <c r="D107" s="9" t="s">
        <v>211</v>
      </c>
      <c r="F107" s="5" t="s">
        <v>4084</v>
      </c>
      <c r="G107" s="5" t="s">
        <v>3878</v>
      </c>
      <c r="I107" s="6"/>
    </row>
    <row r="108" spans="1:9" x14ac:dyDescent="0.25">
      <c r="A108" t="s">
        <v>212</v>
      </c>
      <c r="B108" s="9">
        <v>0</v>
      </c>
      <c r="C108">
        <v>150</v>
      </c>
      <c r="D108" s="9" t="s">
        <v>213</v>
      </c>
      <c r="F108" s="5" t="s">
        <v>4084</v>
      </c>
      <c r="G108" s="5" t="s">
        <v>3878</v>
      </c>
      <c r="I108" s="6"/>
    </row>
    <row r="109" spans="1:9" x14ac:dyDescent="0.25">
      <c r="A109" t="s">
        <v>214</v>
      </c>
      <c r="B109" s="9">
        <v>0</v>
      </c>
      <c r="C109">
        <v>150</v>
      </c>
      <c r="D109" s="9" t="s">
        <v>215</v>
      </c>
      <c r="F109" s="5" t="s">
        <v>4084</v>
      </c>
      <c r="G109" s="5" t="s">
        <v>3878</v>
      </c>
      <c r="I109" s="6"/>
    </row>
    <row r="110" spans="1:9" x14ac:dyDescent="0.25">
      <c r="A110" t="s">
        <v>216</v>
      </c>
      <c r="B110" s="9">
        <v>0</v>
      </c>
      <c r="C110">
        <v>150</v>
      </c>
      <c r="D110" s="9" t="s">
        <v>217</v>
      </c>
      <c r="F110" s="5" t="s">
        <v>4085</v>
      </c>
      <c r="G110" s="5" t="s">
        <v>4004</v>
      </c>
      <c r="H110" s="5" t="s">
        <v>4086</v>
      </c>
      <c r="I110" s="6"/>
    </row>
    <row r="111" spans="1:9" x14ac:dyDescent="0.25">
      <c r="A111" t="s">
        <v>218</v>
      </c>
      <c r="B111" s="9">
        <v>-150</v>
      </c>
      <c r="C111">
        <v>150</v>
      </c>
      <c r="D111" s="9" t="s">
        <v>219</v>
      </c>
      <c r="F111" s="5" t="s">
        <v>4088</v>
      </c>
      <c r="G111" s="5" t="s">
        <v>4004</v>
      </c>
      <c r="H111" s="5" t="s">
        <v>4089</v>
      </c>
      <c r="I111" s="6"/>
    </row>
    <row r="112" spans="1:9" x14ac:dyDescent="0.25">
      <c r="A112" t="s">
        <v>220</v>
      </c>
      <c r="B112" s="9">
        <v>0</v>
      </c>
      <c r="C112">
        <v>150</v>
      </c>
      <c r="D112" s="9" t="s">
        <v>221</v>
      </c>
      <c r="F112" s="5" t="s">
        <v>4090</v>
      </c>
      <c r="G112" s="5" t="s">
        <v>3894</v>
      </c>
      <c r="H112" s="5" t="s">
        <v>4091</v>
      </c>
      <c r="I112" s="6">
        <v>99</v>
      </c>
    </row>
    <row r="113" spans="1:9" x14ac:dyDescent="0.25">
      <c r="A113" t="s">
        <v>6850</v>
      </c>
      <c r="B113" s="9">
        <v>0</v>
      </c>
      <c r="C113">
        <v>150</v>
      </c>
      <c r="D113" s="9" t="s">
        <v>222</v>
      </c>
      <c r="F113" s="5" t="s">
        <v>4092</v>
      </c>
      <c r="G113" s="5" t="s">
        <v>3936</v>
      </c>
      <c r="I113" s="6"/>
    </row>
    <row r="114" spans="1:9" x14ac:dyDescent="0.25">
      <c r="A114" t="s">
        <v>223</v>
      </c>
      <c r="B114" s="9">
        <v>0</v>
      </c>
      <c r="C114">
        <v>150</v>
      </c>
      <c r="D114" s="9" t="s">
        <v>224</v>
      </c>
      <c r="F114" s="5" t="s">
        <v>4093</v>
      </c>
      <c r="G114" s="5" t="s">
        <v>4094</v>
      </c>
      <c r="H114" s="5" t="s">
        <v>4095</v>
      </c>
      <c r="I114" s="6"/>
    </row>
    <row r="115" spans="1:9" x14ac:dyDescent="0.25">
      <c r="A115" t="s">
        <v>225</v>
      </c>
      <c r="B115" s="9">
        <v>0</v>
      </c>
      <c r="C115">
        <v>150</v>
      </c>
      <c r="D115" s="9" t="s">
        <v>226</v>
      </c>
      <c r="F115" s="5" t="s">
        <v>4098</v>
      </c>
      <c r="G115" s="5" t="s">
        <v>3936</v>
      </c>
      <c r="H115" s="5" t="s">
        <v>4099</v>
      </c>
      <c r="I115" s="6">
        <v>29</v>
      </c>
    </row>
    <row r="116" spans="1:9" x14ac:dyDescent="0.25">
      <c r="A116" t="s">
        <v>227</v>
      </c>
      <c r="B116" s="9">
        <v>0</v>
      </c>
      <c r="C116">
        <v>150</v>
      </c>
      <c r="D116" s="9" t="s">
        <v>228</v>
      </c>
      <c r="F116" s="5" t="s">
        <v>4098</v>
      </c>
      <c r="G116" s="5" t="s">
        <v>3936</v>
      </c>
      <c r="H116" s="5" t="s">
        <v>4099</v>
      </c>
      <c r="I116" s="6">
        <v>29</v>
      </c>
    </row>
    <row r="117" spans="1:9" x14ac:dyDescent="0.25">
      <c r="A117" t="s">
        <v>229</v>
      </c>
      <c r="B117" s="9">
        <v>0</v>
      </c>
      <c r="C117">
        <v>150</v>
      </c>
      <c r="D117" s="9" t="s">
        <v>230</v>
      </c>
      <c r="F117" s="5" t="s">
        <v>4100</v>
      </c>
      <c r="G117" s="5" t="s">
        <v>3974</v>
      </c>
      <c r="H117" s="5" t="s">
        <v>4101</v>
      </c>
      <c r="I117" s="6"/>
    </row>
    <row r="118" spans="1:9" x14ac:dyDescent="0.25">
      <c r="A118" t="s">
        <v>231</v>
      </c>
      <c r="B118" s="9">
        <v>0</v>
      </c>
      <c r="C118">
        <v>150</v>
      </c>
      <c r="D118" s="9" t="s">
        <v>232</v>
      </c>
      <c r="F118" s="5" t="s">
        <v>4102</v>
      </c>
      <c r="G118" s="5" t="s">
        <v>3878</v>
      </c>
      <c r="I118" s="6" t="s">
        <v>4103</v>
      </c>
    </row>
    <row r="119" spans="1:9" x14ac:dyDescent="0.25">
      <c r="A119" t="s">
        <v>233</v>
      </c>
      <c r="B119" s="9">
        <v>0</v>
      </c>
      <c r="C119">
        <v>150</v>
      </c>
      <c r="D119" s="9" t="s">
        <v>234</v>
      </c>
      <c r="F119" s="5" t="s">
        <v>4102</v>
      </c>
      <c r="G119" s="5" t="s">
        <v>3878</v>
      </c>
      <c r="I119" s="6" t="s">
        <v>4103</v>
      </c>
    </row>
    <row r="120" spans="1:9" x14ac:dyDescent="0.25">
      <c r="A120" t="s">
        <v>235</v>
      </c>
      <c r="B120" s="9">
        <v>-150</v>
      </c>
      <c r="C120">
        <v>150</v>
      </c>
      <c r="D120" s="9" t="s">
        <v>236</v>
      </c>
      <c r="F120" s="5" t="s">
        <v>4104</v>
      </c>
      <c r="G120" s="5" t="s">
        <v>3878</v>
      </c>
      <c r="I120" s="6">
        <v>80</v>
      </c>
    </row>
    <row r="121" spans="1:9" x14ac:dyDescent="0.25">
      <c r="A121" t="s">
        <v>237</v>
      </c>
      <c r="B121" s="9">
        <v>0</v>
      </c>
      <c r="C121">
        <v>150</v>
      </c>
      <c r="D121" s="9" t="s">
        <v>238</v>
      </c>
      <c r="F121" s="5" t="s">
        <v>4105</v>
      </c>
      <c r="G121" s="5" t="s">
        <v>3870</v>
      </c>
      <c r="H121" s="5" t="s">
        <v>4106</v>
      </c>
      <c r="I121" s="6">
        <v>129</v>
      </c>
    </row>
    <row r="122" spans="1:9" x14ac:dyDescent="0.25">
      <c r="A122" t="s">
        <v>239</v>
      </c>
      <c r="B122" s="9">
        <v>0</v>
      </c>
      <c r="C122">
        <v>150</v>
      </c>
      <c r="D122" s="9" t="s">
        <v>6865</v>
      </c>
      <c r="F122" s="5" t="s">
        <v>4108</v>
      </c>
      <c r="G122" s="5" t="s">
        <v>3901</v>
      </c>
      <c r="I122" s="7">
        <v>44130</v>
      </c>
    </row>
    <row r="123" spans="1:9" x14ac:dyDescent="0.25">
      <c r="A123" t="s">
        <v>240</v>
      </c>
      <c r="B123" s="9">
        <v>0</v>
      </c>
      <c r="C123">
        <v>150</v>
      </c>
      <c r="D123" s="9" t="s">
        <v>6866</v>
      </c>
      <c r="F123" s="5" t="s">
        <v>4109</v>
      </c>
      <c r="G123" s="5" t="s">
        <v>3901</v>
      </c>
      <c r="I123" s="7">
        <v>44131</v>
      </c>
    </row>
    <row r="124" spans="1:9" x14ac:dyDescent="0.25">
      <c r="A124" t="s">
        <v>241</v>
      </c>
      <c r="B124" s="9">
        <v>0</v>
      </c>
      <c r="C124">
        <v>150</v>
      </c>
      <c r="D124" s="9" t="s">
        <v>6867</v>
      </c>
      <c r="F124" s="5" t="s">
        <v>4110</v>
      </c>
      <c r="G124" s="5" t="s">
        <v>3901</v>
      </c>
      <c r="I124" s="7">
        <v>44133</v>
      </c>
    </row>
    <row r="125" spans="1:9" x14ac:dyDescent="0.25">
      <c r="A125" t="s">
        <v>242</v>
      </c>
      <c r="B125" s="9">
        <v>0</v>
      </c>
      <c r="C125">
        <v>150</v>
      </c>
      <c r="D125" s="9" t="s">
        <v>6868</v>
      </c>
      <c r="F125" s="5" t="s">
        <v>4111</v>
      </c>
      <c r="G125" s="5" t="s">
        <v>3901</v>
      </c>
      <c r="I125" s="7">
        <v>44132</v>
      </c>
    </row>
    <row r="126" spans="1:9" x14ac:dyDescent="0.25">
      <c r="A126" t="s">
        <v>243</v>
      </c>
      <c r="B126" s="9">
        <v>0</v>
      </c>
      <c r="C126">
        <v>150</v>
      </c>
      <c r="D126" s="9" t="s">
        <v>6869</v>
      </c>
      <c r="F126" s="5" t="s">
        <v>4112</v>
      </c>
      <c r="G126" s="5" t="s">
        <v>3901</v>
      </c>
      <c r="I126" s="7">
        <v>44134</v>
      </c>
    </row>
    <row r="127" spans="1:9" x14ac:dyDescent="0.25">
      <c r="A127" t="s">
        <v>244</v>
      </c>
      <c r="B127" s="9">
        <v>0</v>
      </c>
      <c r="C127">
        <v>150</v>
      </c>
      <c r="D127" s="9" t="s">
        <v>6870</v>
      </c>
      <c r="F127" s="5" t="s">
        <v>4113</v>
      </c>
      <c r="G127" s="5" t="s">
        <v>3901</v>
      </c>
      <c r="I127" s="7">
        <v>44135</v>
      </c>
    </row>
    <row r="128" spans="1:9" x14ac:dyDescent="0.25">
      <c r="A128" t="s">
        <v>245</v>
      </c>
      <c r="B128" s="9">
        <v>0</v>
      </c>
      <c r="C128">
        <v>150</v>
      </c>
      <c r="D128" s="9" t="s">
        <v>246</v>
      </c>
      <c r="F128" s="5" t="s">
        <v>4115</v>
      </c>
      <c r="G128" s="5" t="s">
        <v>3936</v>
      </c>
      <c r="H128" s="5" t="s">
        <v>4116</v>
      </c>
      <c r="I128" s="6">
        <v>58</v>
      </c>
    </row>
    <row r="129" spans="1:9" x14ac:dyDescent="0.25">
      <c r="A129" t="s">
        <v>247</v>
      </c>
      <c r="B129" s="9">
        <v>-150</v>
      </c>
      <c r="C129">
        <v>150</v>
      </c>
      <c r="D129" s="9" t="s">
        <v>248</v>
      </c>
      <c r="F129" s="5" t="s">
        <v>4117</v>
      </c>
      <c r="G129" s="5" t="s">
        <v>3878</v>
      </c>
      <c r="I129" s="6">
        <v>133</v>
      </c>
    </row>
    <row r="130" spans="1:9" x14ac:dyDescent="0.25">
      <c r="A130" t="s">
        <v>249</v>
      </c>
      <c r="B130" s="9">
        <v>-150</v>
      </c>
      <c r="C130">
        <v>150</v>
      </c>
      <c r="D130" s="9" t="s">
        <v>250</v>
      </c>
      <c r="F130" s="5" t="s">
        <v>4119</v>
      </c>
      <c r="G130" s="5" t="s">
        <v>3878</v>
      </c>
      <c r="H130" s="5" t="s">
        <v>4120</v>
      </c>
      <c r="I130" s="6">
        <v>133</v>
      </c>
    </row>
    <row r="131" spans="1:9" x14ac:dyDescent="0.25">
      <c r="A131" t="s">
        <v>251</v>
      </c>
      <c r="B131" s="9">
        <v>0</v>
      </c>
      <c r="C131">
        <v>150</v>
      </c>
      <c r="D131" s="9" t="s">
        <v>6871</v>
      </c>
      <c r="F131" s="5" t="s">
        <v>4121</v>
      </c>
      <c r="G131" s="5" t="s">
        <v>4033</v>
      </c>
      <c r="H131" s="5" t="s">
        <v>4122</v>
      </c>
      <c r="I131" s="6"/>
    </row>
    <row r="132" spans="1:9" x14ac:dyDescent="0.25">
      <c r="A132" t="s">
        <v>252</v>
      </c>
      <c r="B132" s="9">
        <v>0</v>
      </c>
      <c r="C132">
        <v>150</v>
      </c>
      <c r="D132" s="9" t="s">
        <v>6872</v>
      </c>
      <c r="F132" s="5" t="s">
        <v>4123</v>
      </c>
      <c r="G132" s="5" t="s">
        <v>3894</v>
      </c>
      <c r="H132" s="5" t="s">
        <v>4124</v>
      </c>
      <c r="I132" s="6"/>
    </row>
    <row r="133" spans="1:9" x14ac:dyDescent="0.25">
      <c r="A133" t="s">
        <v>253</v>
      </c>
      <c r="B133" s="9">
        <v>0</v>
      </c>
      <c r="C133">
        <v>150</v>
      </c>
      <c r="D133" s="9" t="s">
        <v>254</v>
      </c>
      <c r="F133" s="5" t="s">
        <v>4125</v>
      </c>
      <c r="G133" s="5" t="s">
        <v>3901</v>
      </c>
      <c r="H133" s="5" t="s">
        <v>4126</v>
      </c>
      <c r="I133" s="6"/>
    </row>
    <row r="134" spans="1:9" x14ac:dyDescent="0.25">
      <c r="A134" t="s">
        <v>255</v>
      </c>
      <c r="B134" s="9">
        <v>0</v>
      </c>
      <c r="C134">
        <v>150</v>
      </c>
      <c r="D134" s="9" t="s">
        <v>256</v>
      </c>
      <c r="F134" s="5" t="s">
        <v>4127</v>
      </c>
      <c r="G134" s="5" t="s">
        <v>3878</v>
      </c>
      <c r="I134" s="6" t="s">
        <v>4128</v>
      </c>
    </row>
    <row r="135" spans="1:9" x14ac:dyDescent="0.25">
      <c r="A135" t="s">
        <v>257</v>
      </c>
      <c r="B135" s="9">
        <v>0</v>
      </c>
      <c r="C135">
        <v>150</v>
      </c>
      <c r="D135" s="9" t="s">
        <v>258</v>
      </c>
      <c r="F135" s="5" t="s">
        <v>4131</v>
      </c>
      <c r="G135" s="5" t="s">
        <v>4043</v>
      </c>
      <c r="H135" s="5" t="s">
        <v>4132</v>
      </c>
      <c r="I135" s="6"/>
    </row>
    <row r="136" spans="1:9" x14ac:dyDescent="0.25">
      <c r="A136" t="s">
        <v>259</v>
      </c>
      <c r="B136" s="9">
        <v>0</v>
      </c>
      <c r="C136">
        <v>150</v>
      </c>
      <c r="D136" s="9" t="s">
        <v>260</v>
      </c>
      <c r="F136" s="5" t="s">
        <v>4133</v>
      </c>
      <c r="G136" s="5" t="s">
        <v>4043</v>
      </c>
      <c r="H136" s="5" t="s">
        <v>4134</v>
      </c>
      <c r="I136" s="6"/>
    </row>
    <row r="137" spans="1:9" x14ac:dyDescent="0.25">
      <c r="A137" t="s">
        <v>261</v>
      </c>
      <c r="B137" s="9">
        <v>0</v>
      </c>
      <c r="C137">
        <v>150</v>
      </c>
      <c r="D137" s="9" t="s">
        <v>262</v>
      </c>
      <c r="F137" s="5" t="s">
        <v>4135</v>
      </c>
      <c r="G137" s="5" t="s">
        <v>3878</v>
      </c>
      <c r="I137" s="6"/>
    </row>
    <row r="138" spans="1:9" x14ac:dyDescent="0.25">
      <c r="A138" t="s">
        <v>263</v>
      </c>
      <c r="B138" s="9">
        <v>0</v>
      </c>
      <c r="C138">
        <v>150</v>
      </c>
      <c r="D138" s="9" t="s">
        <v>264</v>
      </c>
      <c r="F138" s="5" t="s">
        <v>4136</v>
      </c>
      <c r="G138" s="5" t="s">
        <v>3870</v>
      </c>
      <c r="I138" s="6">
        <v>24</v>
      </c>
    </row>
    <row r="139" spans="1:9" x14ac:dyDescent="0.25">
      <c r="A139" t="s">
        <v>265</v>
      </c>
      <c r="B139" s="9">
        <v>0</v>
      </c>
      <c r="C139">
        <v>150</v>
      </c>
      <c r="D139" s="9" t="s">
        <v>266</v>
      </c>
      <c r="F139" s="5" t="s">
        <v>4137</v>
      </c>
      <c r="G139" s="5" t="s">
        <v>3939</v>
      </c>
      <c r="H139" s="5" t="s">
        <v>4138</v>
      </c>
      <c r="I139" s="6">
        <v>89</v>
      </c>
    </row>
    <row r="140" spans="1:9" x14ac:dyDescent="0.25">
      <c r="A140" t="s">
        <v>267</v>
      </c>
      <c r="B140" s="9">
        <v>-150</v>
      </c>
      <c r="C140">
        <v>150</v>
      </c>
      <c r="D140" s="9" t="s">
        <v>268</v>
      </c>
      <c r="F140" s="5" t="s">
        <v>4140</v>
      </c>
      <c r="G140" s="5" t="s">
        <v>3901</v>
      </c>
      <c r="I140" s="6"/>
    </row>
    <row r="141" spans="1:9" x14ac:dyDescent="0.25">
      <c r="A141" t="s">
        <v>269</v>
      </c>
      <c r="B141" s="9">
        <v>0</v>
      </c>
      <c r="C141">
        <v>150</v>
      </c>
      <c r="D141" s="9" t="s">
        <v>270</v>
      </c>
      <c r="F141" s="5" t="s">
        <v>4141</v>
      </c>
      <c r="G141" s="5" t="s">
        <v>3949</v>
      </c>
      <c r="H141" s="5" t="s">
        <v>4142</v>
      </c>
      <c r="I141" s="6"/>
    </row>
    <row r="142" spans="1:9" x14ac:dyDescent="0.25">
      <c r="A142" t="s">
        <v>271</v>
      </c>
      <c r="B142" s="9">
        <v>0</v>
      </c>
      <c r="C142">
        <v>150</v>
      </c>
      <c r="D142" s="9" t="s">
        <v>6873</v>
      </c>
      <c r="F142" s="5" t="s">
        <v>4144</v>
      </c>
      <c r="G142" s="5" t="s">
        <v>3878</v>
      </c>
      <c r="H142" s="5" t="s">
        <v>4145</v>
      </c>
      <c r="I142" s="6"/>
    </row>
    <row r="143" spans="1:9" x14ac:dyDescent="0.25">
      <c r="A143" t="s">
        <v>272</v>
      </c>
      <c r="B143" s="9">
        <v>-150</v>
      </c>
      <c r="C143">
        <v>150</v>
      </c>
      <c r="D143" s="9" t="s">
        <v>273</v>
      </c>
      <c r="F143" s="5" t="s">
        <v>4146</v>
      </c>
      <c r="G143" s="5" t="s">
        <v>4097</v>
      </c>
      <c r="I143" s="7">
        <v>28113</v>
      </c>
    </row>
    <row r="144" spans="1:9" x14ac:dyDescent="0.25">
      <c r="A144" t="s">
        <v>274</v>
      </c>
      <c r="B144" s="9">
        <v>-150</v>
      </c>
      <c r="C144">
        <v>150</v>
      </c>
      <c r="D144" s="9" t="s">
        <v>275</v>
      </c>
      <c r="F144" s="5" t="s">
        <v>4147</v>
      </c>
      <c r="G144" s="5" t="s">
        <v>4097</v>
      </c>
      <c r="I144" s="7">
        <v>28113</v>
      </c>
    </row>
    <row r="145" spans="1:9" x14ac:dyDescent="0.25">
      <c r="A145" t="s">
        <v>276</v>
      </c>
      <c r="B145" s="9">
        <v>-150</v>
      </c>
      <c r="C145">
        <v>150</v>
      </c>
      <c r="D145" s="9" t="s">
        <v>277</v>
      </c>
      <c r="F145" s="5" t="s">
        <v>4148</v>
      </c>
      <c r="G145" s="5" t="s">
        <v>4097</v>
      </c>
      <c r="I145" s="7">
        <v>28113</v>
      </c>
    </row>
    <row r="146" spans="1:9" x14ac:dyDescent="0.25">
      <c r="A146" t="s">
        <v>278</v>
      </c>
      <c r="B146" s="9">
        <v>0</v>
      </c>
      <c r="C146">
        <v>150</v>
      </c>
      <c r="D146" s="9" t="s">
        <v>279</v>
      </c>
      <c r="F146" s="5" t="s">
        <v>4150</v>
      </c>
      <c r="G146" s="5" t="s">
        <v>3939</v>
      </c>
      <c r="H146" s="5" t="s">
        <v>4151</v>
      </c>
      <c r="I146" s="6"/>
    </row>
    <row r="147" spans="1:9" x14ac:dyDescent="0.25">
      <c r="A147" t="s">
        <v>280</v>
      </c>
      <c r="B147" s="9">
        <v>0</v>
      </c>
      <c r="C147">
        <v>150</v>
      </c>
      <c r="D147" s="9" t="s">
        <v>281</v>
      </c>
      <c r="F147" s="5" t="s">
        <v>4152</v>
      </c>
      <c r="G147" s="5" t="s">
        <v>3949</v>
      </c>
      <c r="H147" s="5" t="s">
        <v>4153</v>
      </c>
      <c r="I147" s="6"/>
    </row>
    <row r="148" spans="1:9" x14ac:dyDescent="0.25">
      <c r="A148" t="s">
        <v>282</v>
      </c>
      <c r="B148" s="9">
        <v>0</v>
      </c>
      <c r="C148">
        <v>150</v>
      </c>
      <c r="D148" s="9" t="s">
        <v>283</v>
      </c>
      <c r="F148" s="5" t="s">
        <v>4155</v>
      </c>
      <c r="G148" s="5" t="s">
        <v>3977</v>
      </c>
      <c r="H148" s="5" t="s">
        <v>4156</v>
      </c>
      <c r="I148" s="6"/>
    </row>
    <row r="149" spans="1:9" x14ac:dyDescent="0.25">
      <c r="A149" t="s">
        <v>284</v>
      </c>
      <c r="B149" s="9">
        <v>0</v>
      </c>
      <c r="C149">
        <v>150</v>
      </c>
      <c r="D149" s="9" t="s">
        <v>285</v>
      </c>
      <c r="F149" s="5" t="s">
        <v>4157</v>
      </c>
      <c r="G149" s="5" t="s">
        <v>3936</v>
      </c>
      <c r="H149" s="5" t="s">
        <v>4158</v>
      </c>
      <c r="I149" s="6">
        <v>91</v>
      </c>
    </row>
    <row r="150" spans="1:9" x14ac:dyDescent="0.25">
      <c r="A150" t="s">
        <v>286</v>
      </c>
      <c r="B150" s="9">
        <v>0</v>
      </c>
      <c r="C150">
        <v>150</v>
      </c>
      <c r="D150" s="10" t="s">
        <v>6874</v>
      </c>
      <c r="F150" s="5" t="s">
        <v>4159</v>
      </c>
      <c r="G150" s="5" t="s">
        <v>4020</v>
      </c>
      <c r="I150" s="6">
        <v>40</v>
      </c>
    </row>
    <row r="151" spans="1:9" x14ac:dyDescent="0.25">
      <c r="A151" t="s">
        <v>287</v>
      </c>
      <c r="B151" s="9">
        <v>0</v>
      </c>
      <c r="C151">
        <v>150</v>
      </c>
      <c r="D151" s="9" t="s">
        <v>288</v>
      </c>
      <c r="F151" s="5" t="s">
        <v>4162</v>
      </c>
      <c r="G151" s="5" t="s">
        <v>3974</v>
      </c>
      <c r="H151" s="5" t="s">
        <v>4163</v>
      </c>
      <c r="I151" s="6"/>
    </row>
    <row r="152" spans="1:9" x14ac:dyDescent="0.25">
      <c r="A152" t="s">
        <v>289</v>
      </c>
      <c r="B152" s="9">
        <v>0</v>
      </c>
      <c r="C152">
        <v>150</v>
      </c>
      <c r="D152" s="9" t="s">
        <v>290</v>
      </c>
      <c r="F152" s="5" t="s">
        <v>4164</v>
      </c>
      <c r="G152" s="5" t="s">
        <v>3991</v>
      </c>
      <c r="H152" s="5" t="s">
        <v>4165</v>
      </c>
      <c r="I152" s="6"/>
    </row>
    <row r="153" spans="1:9" x14ac:dyDescent="0.25">
      <c r="A153" s="1" t="s">
        <v>2488</v>
      </c>
      <c r="B153" s="9">
        <v>0</v>
      </c>
      <c r="C153">
        <v>150</v>
      </c>
      <c r="D153" s="9" t="s">
        <v>292</v>
      </c>
      <c r="F153" s="5" t="s">
        <v>4169</v>
      </c>
      <c r="G153" s="5" t="s">
        <v>3949</v>
      </c>
      <c r="H153" s="5" t="s">
        <v>4170</v>
      </c>
      <c r="I153" s="6"/>
    </row>
    <row r="154" spans="1:9" x14ac:dyDescent="0.25">
      <c r="A154" t="s">
        <v>293</v>
      </c>
      <c r="B154" s="9">
        <v>0</v>
      </c>
      <c r="C154">
        <v>150</v>
      </c>
      <c r="D154" s="9" t="s">
        <v>294</v>
      </c>
      <c r="F154" s="5" t="s">
        <v>4171</v>
      </c>
      <c r="G154" s="5" t="s">
        <v>3949</v>
      </c>
      <c r="I154" s="6"/>
    </row>
    <row r="155" spans="1:9" x14ac:dyDescent="0.25">
      <c r="A155" t="s">
        <v>295</v>
      </c>
      <c r="B155" s="9">
        <v>-150</v>
      </c>
      <c r="C155">
        <v>150</v>
      </c>
      <c r="D155" s="9" t="s">
        <v>296</v>
      </c>
      <c r="F155" s="5" t="s">
        <v>4173</v>
      </c>
      <c r="G155" s="5" t="s">
        <v>3949</v>
      </c>
      <c r="H155" s="5" t="s">
        <v>4174</v>
      </c>
      <c r="I155" s="6"/>
    </row>
    <row r="156" spans="1:9" x14ac:dyDescent="0.25">
      <c r="A156" t="s">
        <v>297</v>
      </c>
      <c r="B156" s="9">
        <v>-150</v>
      </c>
      <c r="C156">
        <v>150</v>
      </c>
      <c r="D156" s="9" t="s">
        <v>298</v>
      </c>
      <c r="F156" s="5" t="s">
        <v>4175</v>
      </c>
      <c r="G156" s="5" t="s">
        <v>3949</v>
      </c>
      <c r="H156" s="5" t="s">
        <v>4174</v>
      </c>
      <c r="I156" s="6"/>
    </row>
    <row r="157" spans="1:9" x14ac:dyDescent="0.25">
      <c r="A157" t="s">
        <v>299</v>
      </c>
      <c r="B157" s="9">
        <v>0</v>
      </c>
      <c r="C157">
        <v>150</v>
      </c>
      <c r="D157" s="9" t="s">
        <v>300</v>
      </c>
      <c r="F157" s="5" t="s">
        <v>4176</v>
      </c>
      <c r="G157" s="5" t="s">
        <v>4004</v>
      </c>
      <c r="H157" s="5" t="s">
        <v>4177</v>
      </c>
      <c r="I157" s="6"/>
    </row>
    <row r="158" spans="1:9" x14ac:dyDescent="0.25">
      <c r="A158" t="s">
        <v>301</v>
      </c>
      <c r="B158" s="9">
        <v>0</v>
      </c>
      <c r="C158">
        <v>150</v>
      </c>
      <c r="D158" s="9" t="s">
        <v>302</v>
      </c>
      <c r="F158" s="5" t="s">
        <v>4178</v>
      </c>
      <c r="G158" s="5" t="s">
        <v>3949</v>
      </c>
      <c r="I158" s="6"/>
    </row>
    <row r="159" spans="1:9" x14ac:dyDescent="0.25">
      <c r="A159" t="s">
        <v>303</v>
      </c>
      <c r="B159" s="9">
        <v>-150</v>
      </c>
      <c r="C159">
        <v>150</v>
      </c>
      <c r="D159" s="9" t="s">
        <v>304</v>
      </c>
      <c r="F159" s="5" t="s">
        <v>4179</v>
      </c>
      <c r="G159" s="5" t="s">
        <v>3949</v>
      </c>
      <c r="H159" s="5" t="s">
        <v>4180</v>
      </c>
      <c r="I159" s="6"/>
    </row>
    <row r="160" spans="1:9" x14ac:dyDescent="0.25">
      <c r="A160" t="s">
        <v>305</v>
      </c>
      <c r="B160" s="9">
        <v>0</v>
      </c>
      <c r="C160">
        <v>150</v>
      </c>
      <c r="D160" s="9" t="s">
        <v>306</v>
      </c>
      <c r="F160" s="5" t="s">
        <v>4182</v>
      </c>
      <c r="G160" s="5" t="s">
        <v>3884</v>
      </c>
      <c r="H160" s="5" t="s">
        <v>4183</v>
      </c>
      <c r="I160" s="6"/>
    </row>
    <row r="161" spans="1:9" x14ac:dyDescent="0.25">
      <c r="A161" t="s">
        <v>307</v>
      </c>
      <c r="B161" s="9">
        <v>0</v>
      </c>
      <c r="C161">
        <v>150</v>
      </c>
      <c r="D161" s="9" t="s">
        <v>6875</v>
      </c>
      <c r="F161" s="5" t="s">
        <v>4186</v>
      </c>
      <c r="G161" s="5" t="s">
        <v>4067</v>
      </c>
      <c r="H161" s="5" t="s">
        <v>4187</v>
      </c>
      <c r="I161" s="6"/>
    </row>
    <row r="162" spans="1:9" x14ac:dyDescent="0.25">
      <c r="A162" t="s">
        <v>308</v>
      </c>
      <c r="B162" s="9">
        <v>-150</v>
      </c>
      <c r="C162">
        <v>150</v>
      </c>
      <c r="D162" s="9" t="s">
        <v>309</v>
      </c>
      <c r="F162" s="5" t="s">
        <v>4188</v>
      </c>
      <c r="G162" s="5" t="s">
        <v>4067</v>
      </c>
      <c r="H162" s="5" t="s">
        <v>4189</v>
      </c>
      <c r="I162" s="6"/>
    </row>
    <row r="163" spans="1:9" x14ac:dyDescent="0.25">
      <c r="A163" t="s">
        <v>310</v>
      </c>
      <c r="B163" s="9">
        <v>-150</v>
      </c>
      <c r="C163">
        <v>150</v>
      </c>
      <c r="D163" s="9" t="s">
        <v>311</v>
      </c>
      <c r="F163" s="5" t="s">
        <v>4190</v>
      </c>
      <c r="G163" s="5" t="s">
        <v>3901</v>
      </c>
      <c r="H163" s="5" t="s">
        <v>4191</v>
      </c>
      <c r="I163" s="6"/>
    </row>
    <row r="164" spans="1:9" x14ac:dyDescent="0.25">
      <c r="A164" t="s">
        <v>312</v>
      </c>
      <c r="B164" s="9">
        <v>0</v>
      </c>
      <c r="C164">
        <v>150</v>
      </c>
      <c r="D164" s="9" t="s">
        <v>313</v>
      </c>
      <c r="F164" s="5" t="s">
        <v>4192</v>
      </c>
      <c r="G164" s="5" t="s">
        <v>3878</v>
      </c>
      <c r="I164" s="6"/>
    </row>
    <row r="165" spans="1:9" x14ac:dyDescent="0.25">
      <c r="A165" t="s">
        <v>314</v>
      </c>
      <c r="B165" s="9">
        <v>-150</v>
      </c>
      <c r="C165">
        <v>150</v>
      </c>
      <c r="D165" s="9" t="s">
        <v>6876</v>
      </c>
      <c r="F165" s="5" t="s">
        <v>4193</v>
      </c>
      <c r="G165" s="5" t="s">
        <v>3878</v>
      </c>
      <c r="H165" s="5" t="s">
        <v>4194</v>
      </c>
      <c r="I165" s="6"/>
    </row>
    <row r="166" spans="1:9" x14ac:dyDescent="0.25">
      <c r="A166" t="s">
        <v>315</v>
      </c>
      <c r="B166" s="9">
        <v>0</v>
      </c>
      <c r="C166">
        <v>150</v>
      </c>
      <c r="D166" s="9" t="s">
        <v>316</v>
      </c>
      <c r="F166" s="5" t="s">
        <v>4195</v>
      </c>
      <c r="G166" s="5" t="s">
        <v>3949</v>
      </c>
      <c r="H166" s="5" t="s">
        <v>4196</v>
      </c>
      <c r="I166" s="6"/>
    </row>
    <row r="167" spans="1:9" x14ac:dyDescent="0.25">
      <c r="A167" t="s">
        <v>317</v>
      </c>
      <c r="B167" s="9">
        <v>0</v>
      </c>
      <c r="C167">
        <v>150</v>
      </c>
      <c r="D167" s="9" t="s">
        <v>318</v>
      </c>
      <c r="F167" s="5" t="s">
        <v>4197</v>
      </c>
      <c r="G167" s="5" t="s">
        <v>3949</v>
      </c>
      <c r="H167" s="5" t="s">
        <v>4198</v>
      </c>
      <c r="I167" s="6"/>
    </row>
    <row r="168" spans="1:9" x14ac:dyDescent="0.25">
      <c r="A168" t="s">
        <v>319</v>
      </c>
      <c r="B168" s="9">
        <v>0</v>
      </c>
      <c r="C168">
        <v>150</v>
      </c>
      <c r="D168" s="9" t="s">
        <v>320</v>
      </c>
      <c r="F168" s="5" t="s">
        <v>4200</v>
      </c>
      <c r="G168" s="5" t="s">
        <v>3870</v>
      </c>
      <c r="H168" s="5" t="s">
        <v>4201</v>
      </c>
      <c r="I168" s="6">
        <v>132</v>
      </c>
    </row>
    <row r="169" spans="1:9" x14ac:dyDescent="0.25">
      <c r="A169" t="s">
        <v>321</v>
      </c>
      <c r="B169" s="9">
        <v>0</v>
      </c>
      <c r="C169">
        <v>150</v>
      </c>
      <c r="D169" s="9" t="s">
        <v>322</v>
      </c>
      <c r="F169" s="5" t="s">
        <v>4203</v>
      </c>
      <c r="G169" s="5" t="s">
        <v>3870</v>
      </c>
      <c r="H169" s="5" t="s">
        <v>4204</v>
      </c>
      <c r="I169" s="6">
        <v>132</v>
      </c>
    </row>
    <row r="170" spans="1:9" x14ac:dyDescent="0.25">
      <c r="A170" t="s">
        <v>323</v>
      </c>
      <c r="B170" s="9">
        <v>0</v>
      </c>
      <c r="C170">
        <v>150</v>
      </c>
      <c r="D170" s="9" t="s">
        <v>324</v>
      </c>
      <c r="F170" s="5" t="s">
        <v>4205</v>
      </c>
      <c r="G170" s="5" t="s">
        <v>4043</v>
      </c>
      <c r="H170" s="5" t="s">
        <v>4206</v>
      </c>
      <c r="I170" s="6"/>
    </row>
    <row r="171" spans="1:9" x14ac:dyDescent="0.25">
      <c r="A171" t="s">
        <v>325</v>
      </c>
      <c r="B171" s="9">
        <v>-150</v>
      </c>
      <c r="C171">
        <v>150</v>
      </c>
      <c r="D171" s="9" t="s">
        <v>326</v>
      </c>
      <c r="F171" s="5" t="s">
        <v>4207</v>
      </c>
      <c r="G171" s="5" t="s">
        <v>3870</v>
      </c>
      <c r="H171" s="5" t="s">
        <v>4208</v>
      </c>
      <c r="I171" s="6">
        <v>132</v>
      </c>
    </row>
    <row r="172" spans="1:9" x14ac:dyDescent="0.25">
      <c r="A172" t="s">
        <v>327</v>
      </c>
      <c r="B172" s="9">
        <v>-150</v>
      </c>
      <c r="C172">
        <v>150</v>
      </c>
      <c r="D172" s="9" t="s">
        <v>328</v>
      </c>
      <c r="F172" s="5" t="s">
        <v>4209</v>
      </c>
      <c r="G172" s="5" t="s">
        <v>3949</v>
      </c>
      <c r="H172" s="5" t="s">
        <v>4210</v>
      </c>
      <c r="I172" s="6"/>
    </row>
    <row r="173" spans="1:9" x14ac:dyDescent="0.25">
      <c r="A173" t="s">
        <v>329</v>
      </c>
      <c r="B173" s="9">
        <v>0</v>
      </c>
      <c r="C173">
        <v>150</v>
      </c>
      <c r="D173" s="9" t="s">
        <v>330</v>
      </c>
      <c r="F173" s="5" t="s">
        <v>4212</v>
      </c>
      <c r="G173" s="5" t="s">
        <v>3920</v>
      </c>
      <c r="H173" s="5" t="s">
        <v>4213</v>
      </c>
      <c r="I173" s="6"/>
    </row>
    <row r="174" spans="1:9" x14ac:dyDescent="0.25">
      <c r="A174" t="s">
        <v>331</v>
      </c>
      <c r="B174" s="9">
        <v>0</v>
      </c>
      <c r="C174">
        <v>150</v>
      </c>
      <c r="D174" s="9" t="s">
        <v>332</v>
      </c>
      <c r="F174" s="5" t="s">
        <v>4214</v>
      </c>
      <c r="G174" s="5" t="s">
        <v>3920</v>
      </c>
      <c r="I174" s="6"/>
    </row>
    <row r="175" spans="1:9" x14ac:dyDescent="0.25">
      <c r="A175" t="s">
        <v>333</v>
      </c>
      <c r="B175" s="9">
        <v>0</v>
      </c>
      <c r="C175">
        <v>150</v>
      </c>
      <c r="D175" s="9" t="s">
        <v>334</v>
      </c>
      <c r="F175" s="5" t="s">
        <v>4215</v>
      </c>
      <c r="G175" s="5" t="s">
        <v>3870</v>
      </c>
      <c r="I175" s="6" t="s">
        <v>4216</v>
      </c>
    </row>
    <row r="176" spans="1:9" x14ac:dyDescent="0.25">
      <c r="A176" t="s">
        <v>335</v>
      </c>
      <c r="B176" s="10">
        <v>-150</v>
      </c>
      <c r="C176">
        <v>150</v>
      </c>
      <c r="D176" s="9" t="s">
        <v>336</v>
      </c>
      <c r="F176" s="5" t="s">
        <v>4218</v>
      </c>
      <c r="G176" s="5" t="s">
        <v>3878</v>
      </c>
      <c r="H176" s="5" t="s">
        <v>4219</v>
      </c>
      <c r="I176" s="6"/>
    </row>
    <row r="177" spans="1:9" x14ac:dyDescent="0.25">
      <c r="A177" t="s">
        <v>337</v>
      </c>
      <c r="B177" s="9">
        <v>-150</v>
      </c>
      <c r="C177">
        <v>150</v>
      </c>
      <c r="D177" s="9" t="s">
        <v>338</v>
      </c>
      <c r="F177" s="5" t="s">
        <v>4220</v>
      </c>
      <c r="G177" s="5" t="s">
        <v>3878</v>
      </c>
      <c r="H177" s="5" t="s">
        <v>4221</v>
      </c>
      <c r="I177" s="6" t="s">
        <v>4222</v>
      </c>
    </row>
    <row r="178" spans="1:9" x14ac:dyDescent="0.25">
      <c r="A178" t="s">
        <v>339</v>
      </c>
      <c r="B178" s="9">
        <v>0</v>
      </c>
      <c r="C178">
        <v>150</v>
      </c>
      <c r="D178" s="9" t="s">
        <v>340</v>
      </c>
      <c r="F178" s="5" t="s">
        <v>4223</v>
      </c>
      <c r="G178" s="5" t="s">
        <v>3870</v>
      </c>
      <c r="I178" s="6">
        <v>24</v>
      </c>
    </row>
    <row r="179" spans="1:9" x14ac:dyDescent="0.25">
      <c r="A179" t="s">
        <v>341</v>
      </c>
      <c r="B179" s="9">
        <v>0</v>
      </c>
      <c r="C179">
        <v>150</v>
      </c>
      <c r="D179" s="9" t="s">
        <v>342</v>
      </c>
      <c r="F179" s="5" t="s">
        <v>4224</v>
      </c>
      <c r="G179" s="5" t="s">
        <v>3870</v>
      </c>
      <c r="I179" s="6">
        <v>24</v>
      </c>
    </row>
    <row r="180" spans="1:9" x14ac:dyDescent="0.25">
      <c r="A180" t="s">
        <v>343</v>
      </c>
      <c r="B180" s="9">
        <v>0</v>
      </c>
      <c r="C180">
        <v>150</v>
      </c>
      <c r="D180" s="9" t="s">
        <v>344</v>
      </c>
      <c r="F180" s="5" t="s">
        <v>4225</v>
      </c>
      <c r="G180" s="5" t="s">
        <v>4067</v>
      </c>
      <c r="H180" s="5" t="s">
        <v>4226</v>
      </c>
      <c r="I180" s="6"/>
    </row>
    <row r="181" spans="1:9" x14ac:dyDescent="0.25">
      <c r="A181" t="s">
        <v>345</v>
      </c>
      <c r="B181" s="9">
        <v>0</v>
      </c>
      <c r="C181">
        <v>150</v>
      </c>
      <c r="D181" s="9" t="s">
        <v>346</v>
      </c>
      <c r="F181" s="5" t="s">
        <v>4227</v>
      </c>
      <c r="G181" s="5" t="s">
        <v>4067</v>
      </c>
      <c r="H181" s="5" t="s">
        <v>4228</v>
      </c>
      <c r="I181" s="6"/>
    </row>
    <row r="182" spans="1:9" x14ac:dyDescent="0.25">
      <c r="A182" t="s">
        <v>347</v>
      </c>
      <c r="B182" s="9">
        <v>-150</v>
      </c>
      <c r="C182">
        <v>150</v>
      </c>
      <c r="D182" s="9" t="s">
        <v>348</v>
      </c>
      <c r="F182" s="5" t="s">
        <v>4229</v>
      </c>
      <c r="G182" s="5" t="s">
        <v>3878</v>
      </c>
      <c r="H182" s="5" t="s">
        <v>4230</v>
      </c>
      <c r="I182" s="6"/>
    </row>
    <row r="183" spans="1:9" x14ac:dyDescent="0.25">
      <c r="A183" t="s">
        <v>349</v>
      </c>
      <c r="B183" s="9">
        <v>0</v>
      </c>
      <c r="C183">
        <v>150</v>
      </c>
      <c r="D183" s="9" t="s">
        <v>350</v>
      </c>
      <c r="F183" s="5" t="s">
        <v>4231</v>
      </c>
      <c r="G183" s="5" t="s">
        <v>3878</v>
      </c>
      <c r="H183" s="5" t="s">
        <v>4232</v>
      </c>
      <c r="I183" s="6"/>
    </row>
    <row r="184" spans="1:9" x14ac:dyDescent="0.25">
      <c r="A184" t="s">
        <v>351</v>
      </c>
      <c r="B184" s="9">
        <v>0</v>
      </c>
      <c r="C184">
        <v>150</v>
      </c>
      <c r="D184" s="9" t="s">
        <v>6877</v>
      </c>
      <c r="F184" s="5" t="s">
        <v>4233</v>
      </c>
      <c r="G184" s="5" t="s">
        <v>3878</v>
      </c>
      <c r="I184" s="6"/>
    </row>
    <row r="185" spans="1:9" x14ac:dyDescent="0.25">
      <c r="A185" t="s">
        <v>352</v>
      </c>
      <c r="B185" s="9">
        <v>0</v>
      </c>
      <c r="C185">
        <v>150</v>
      </c>
      <c r="D185" s="9" t="s">
        <v>353</v>
      </c>
      <c r="F185" s="5" t="s">
        <v>4234</v>
      </c>
      <c r="G185" s="5" t="s">
        <v>3878</v>
      </c>
      <c r="I185" s="6"/>
    </row>
    <row r="186" spans="1:9" x14ac:dyDescent="0.25">
      <c r="A186" t="s">
        <v>354</v>
      </c>
      <c r="B186" s="9">
        <v>0</v>
      </c>
      <c r="C186">
        <v>150</v>
      </c>
      <c r="D186" s="9" t="s">
        <v>355</v>
      </c>
      <c r="F186" s="5" t="s">
        <v>4235</v>
      </c>
      <c r="G186" s="5" t="s">
        <v>3977</v>
      </c>
      <c r="H186" s="5" t="s">
        <v>4236</v>
      </c>
      <c r="I186" s="6"/>
    </row>
    <row r="187" spans="1:9" x14ac:dyDescent="0.25">
      <c r="A187" t="s">
        <v>356</v>
      </c>
      <c r="B187" s="9">
        <v>0</v>
      </c>
      <c r="C187">
        <v>150</v>
      </c>
      <c r="D187" s="9" t="s">
        <v>357</v>
      </c>
      <c r="F187" s="5" t="s">
        <v>4237</v>
      </c>
      <c r="G187" s="5" t="s">
        <v>3977</v>
      </c>
      <c r="H187" s="5" t="s">
        <v>4236</v>
      </c>
      <c r="I187" s="6"/>
    </row>
    <row r="188" spans="1:9" x14ac:dyDescent="0.25">
      <c r="A188" t="s">
        <v>358</v>
      </c>
      <c r="B188" s="9">
        <v>-150</v>
      </c>
      <c r="C188">
        <v>150</v>
      </c>
      <c r="D188" s="9" t="s">
        <v>359</v>
      </c>
      <c r="F188" s="5" t="s">
        <v>4238</v>
      </c>
      <c r="G188" s="5" t="s">
        <v>3977</v>
      </c>
      <c r="H188" s="5" t="s">
        <v>4239</v>
      </c>
      <c r="I188" s="6"/>
    </row>
    <row r="189" spans="1:9" x14ac:dyDescent="0.25">
      <c r="A189" t="s">
        <v>360</v>
      </c>
      <c r="B189" s="9">
        <v>0</v>
      </c>
      <c r="C189">
        <v>150</v>
      </c>
      <c r="D189" s="9" t="s">
        <v>361</v>
      </c>
      <c r="F189" s="5" t="s">
        <v>4240</v>
      </c>
      <c r="G189" s="5" t="s">
        <v>3870</v>
      </c>
      <c r="I189" s="6">
        <v>24</v>
      </c>
    </row>
    <row r="190" spans="1:9" x14ac:dyDescent="0.25">
      <c r="A190" t="s">
        <v>362</v>
      </c>
      <c r="B190" s="9">
        <v>0</v>
      </c>
      <c r="C190">
        <v>150</v>
      </c>
      <c r="D190" s="9" t="s">
        <v>363</v>
      </c>
      <c r="F190" s="5" t="s">
        <v>4241</v>
      </c>
      <c r="G190" s="5" t="s">
        <v>3878</v>
      </c>
      <c r="H190" s="5" t="s">
        <v>4242</v>
      </c>
      <c r="I190" s="6"/>
    </row>
    <row r="191" spans="1:9" x14ac:dyDescent="0.25">
      <c r="A191" t="s">
        <v>364</v>
      </c>
      <c r="B191" s="9">
        <v>0</v>
      </c>
      <c r="C191">
        <v>150</v>
      </c>
      <c r="D191" s="9" t="s">
        <v>365</v>
      </c>
      <c r="F191" s="5" t="s">
        <v>4243</v>
      </c>
      <c r="G191" s="5" t="s">
        <v>3878</v>
      </c>
      <c r="I191" s="6"/>
    </row>
    <row r="192" spans="1:9" x14ac:dyDescent="0.25">
      <c r="A192" t="s">
        <v>366</v>
      </c>
      <c r="B192" s="9">
        <v>0</v>
      </c>
      <c r="C192">
        <v>150</v>
      </c>
      <c r="D192" s="9" t="s">
        <v>367</v>
      </c>
      <c r="F192" s="5" t="s">
        <v>4244</v>
      </c>
      <c r="G192" s="5" t="s">
        <v>3991</v>
      </c>
      <c r="I192" s="7">
        <v>97115</v>
      </c>
    </row>
    <row r="193" spans="1:9" x14ac:dyDescent="0.25">
      <c r="A193" t="s">
        <v>368</v>
      </c>
      <c r="B193" s="9">
        <v>-150</v>
      </c>
      <c r="C193">
        <v>150</v>
      </c>
      <c r="D193" s="9" t="s">
        <v>369</v>
      </c>
      <c r="F193" s="5" t="s">
        <v>4245</v>
      </c>
      <c r="G193" s="5" t="s">
        <v>4043</v>
      </c>
      <c r="H193" s="5" t="s">
        <v>4246</v>
      </c>
      <c r="I193" s="6"/>
    </row>
    <row r="194" spans="1:9" x14ac:dyDescent="0.25">
      <c r="A194" t="s">
        <v>370</v>
      </c>
      <c r="B194" s="9">
        <v>0</v>
      </c>
      <c r="C194">
        <v>150</v>
      </c>
      <c r="D194" s="9" t="s">
        <v>371</v>
      </c>
      <c r="F194" s="5" t="s">
        <v>4247</v>
      </c>
      <c r="G194" s="5" t="s">
        <v>4043</v>
      </c>
      <c r="I194" s="6"/>
    </row>
    <row r="195" spans="1:9" x14ac:dyDescent="0.25">
      <c r="A195" t="s">
        <v>372</v>
      </c>
      <c r="B195" s="9">
        <v>0</v>
      </c>
      <c r="C195">
        <v>150</v>
      </c>
      <c r="D195" s="9" t="s">
        <v>373</v>
      </c>
      <c r="F195" s="5" t="s">
        <v>4249</v>
      </c>
      <c r="G195" s="5" t="s">
        <v>3870</v>
      </c>
      <c r="I195" s="6">
        <v>122</v>
      </c>
    </row>
    <row r="196" spans="1:9" x14ac:dyDescent="0.25">
      <c r="A196" t="s">
        <v>374</v>
      </c>
      <c r="B196" s="9">
        <v>0</v>
      </c>
      <c r="C196">
        <v>150</v>
      </c>
      <c r="D196" s="9" t="s">
        <v>375</v>
      </c>
      <c r="F196" s="5" t="s">
        <v>4250</v>
      </c>
      <c r="G196" s="5" t="s">
        <v>3870</v>
      </c>
      <c r="I196" s="6">
        <v>121</v>
      </c>
    </row>
    <row r="197" spans="1:9" x14ac:dyDescent="0.25">
      <c r="A197" t="s">
        <v>376</v>
      </c>
      <c r="B197" s="9">
        <v>0</v>
      </c>
      <c r="C197">
        <v>150</v>
      </c>
      <c r="D197" s="9" t="s">
        <v>377</v>
      </c>
      <c r="F197" s="5" t="s">
        <v>4251</v>
      </c>
      <c r="G197" s="5" t="s">
        <v>3870</v>
      </c>
      <c r="I197" s="6">
        <v>121</v>
      </c>
    </row>
    <row r="198" spans="1:9" x14ac:dyDescent="0.25">
      <c r="A198" t="s">
        <v>378</v>
      </c>
      <c r="B198" s="9">
        <v>0</v>
      </c>
      <c r="C198">
        <v>150</v>
      </c>
      <c r="D198" s="9" t="s">
        <v>379</v>
      </c>
      <c r="F198" s="5" t="s">
        <v>4252</v>
      </c>
      <c r="G198" s="5" t="s">
        <v>3894</v>
      </c>
      <c r="I198" s="6"/>
    </row>
    <row r="199" spans="1:9" x14ac:dyDescent="0.25">
      <c r="A199" t="s">
        <v>380</v>
      </c>
      <c r="B199" s="9">
        <v>0</v>
      </c>
      <c r="C199">
        <v>150</v>
      </c>
      <c r="D199" s="9" t="s">
        <v>381</v>
      </c>
      <c r="F199" s="5" t="s">
        <v>4252</v>
      </c>
      <c r="G199" s="5" t="s">
        <v>3894</v>
      </c>
      <c r="I199" s="6">
        <v>101</v>
      </c>
    </row>
    <row r="200" spans="1:9" x14ac:dyDescent="0.25">
      <c r="A200" t="s">
        <v>382</v>
      </c>
      <c r="B200" s="9">
        <v>0</v>
      </c>
      <c r="C200">
        <v>150</v>
      </c>
      <c r="D200" s="9" t="s">
        <v>383</v>
      </c>
      <c r="F200" s="5" t="s">
        <v>4254</v>
      </c>
      <c r="G200" s="5" t="s">
        <v>3878</v>
      </c>
      <c r="H200" s="5" t="s">
        <v>4255</v>
      </c>
      <c r="I200" s="6"/>
    </row>
    <row r="201" spans="1:9" x14ac:dyDescent="0.25">
      <c r="A201" t="s">
        <v>384</v>
      </c>
      <c r="B201" s="9">
        <v>0</v>
      </c>
      <c r="C201">
        <v>150</v>
      </c>
      <c r="D201" s="9" t="s">
        <v>385</v>
      </c>
      <c r="F201" s="5" t="s">
        <v>4256</v>
      </c>
      <c r="G201" s="5" t="s">
        <v>3878</v>
      </c>
      <c r="I201" s="6" t="s">
        <v>4257</v>
      </c>
    </row>
    <row r="202" spans="1:9" x14ac:dyDescent="0.25">
      <c r="A202" t="s">
        <v>386</v>
      </c>
      <c r="B202" s="9">
        <v>0</v>
      </c>
      <c r="C202">
        <v>150</v>
      </c>
      <c r="D202" s="9" t="s">
        <v>387</v>
      </c>
      <c r="F202" s="5" t="s">
        <v>4258</v>
      </c>
      <c r="G202" s="5" t="s">
        <v>3878</v>
      </c>
      <c r="I202" s="6"/>
    </row>
    <row r="203" spans="1:9" x14ac:dyDescent="0.25">
      <c r="A203" t="s">
        <v>388</v>
      </c>
      <c r="B203" s="9">
        <v>0</v>
      </c>
      <c r="C203">
        <v>150</v>
      </c>
      <c r="D203" s="9" t="s">
        <v>389</v>
      </c>
      <c r="F203" s="5" t="s">
        <v>4259</v>
      </c>
      <c r="G203" s="5" t="s">
        <v>4097</v>
      </c>
      <c r="I203" s="6"/>
    </row>
    <row r="204" spans="1:9" x14ac:dyDescent="0.25">
      <c r="A204" t="s">
        <v>390</v>
      </c>
      <c r="B204" s="9">
        <v>0</v>
      </c>
      <c r="C204">
        <v>150</v>
      </c>
      <c r="D204" s="9" t="s">
        <v>391</v>
      </c>
      <c r="F204" s="5" t="s">
        <v>4260</v>
      </c>
      <c r="G204" s="5" t="s">
        <v>4097</v>
      </c>
      <c r="I204" s="6"/>
    </row>
    <row r="205" spans="1:9" x14ac:dyDescent="0.25">
      <c r="A205" t="s">
        <v>392</v>
      </c>
      <c r="B205" s="9">
        <v>0</v>
      </c>
      <c r="C205">
        <v>150</v>
      </c>
      <c r="D205" s="9" t="s">
        <v>393</v>
      </c>
      <c r="F205" s="5" t="s">
        <v>4261</v>
      </c>
      <c r="G205" s="5" t="s">
        <v>3878</v>
      </c>
      <c r="I205" s="6"/>
    </row>
    <row r="206" spans="1:9" x14ac:dyDescent="0.25">
      <c r="A206" t="s">
        <v>394</v>
      </c>
      <c r="B206" s="9">
        <v>0</v>
      </c>
      <c r="C206">
        <v>150</v>
      </c>
      <c r="D206" s="9" t="s">
        <v>395</v>
      </c>
      <c r="F206" s="5" t="s">
        <v>4262</v>
      </c>
      <c r="G206" s="5" t="s">
        <v>3878</v>
      </c>
      <c r="I206" s="6"/>
    </row>
    <row r="207" spans="1:9" x14ac:dyDescent="0.25">
      <c r="A207" t="s">
        <v>396</v>
      </c>
      <c r="B207" s="9">
        <v>0</v>
      </c>
      <c r="C207">
        <v>150</v>
      </c>
      <c r="D207" s="9" t="s">
        <v>397</v>
      </c>
      <c r="F207" s="5" t="s">
        <v>4263</v>
      </c>
      <c r="G207" s="5" t="s">
        <v>3870</v>
      </c>
      <c r="I207" s="6">
        <v>120</v>
      </c>
    </row>
    <row r="208" spans="1:9" x14ac:dyDescent="0.25">
      <c r="A208" t="s">
        <v>398</v>
      </c>
      <c r="B208" s="9">
        <v>0</v>
      </c>
      <c r="C208">
        <v>150</v>
      </c>
      <c r="D208" s="9" t="s">
        <v>399</v>
      </c>
      <c r="F208" s="5" t="s">
        <v>4264</v>
      </c>
      <c r="G208" s="5" t="s">
        <v>3878</v>
      </c>
      <c r="H208" s="5" t="s">
        <v>4265</v>
      </c>
      <c r="I208" s="6"/>
    </row>
    <row r="209" spans="1:9" x14ac:dyDescent="0.25">
      <c r="A209" t="s">
        <v>400</v>
      </c>
      <c r="B209" s="9">
        <v>0</v>
      </c>
      <c r="C209">
        <v>150</v>
      </c>
      <c r="D209" s="9" t="s">
        <v>401</v>
      </c>
      <c r="F209" s="5" t="s">
        <v>4266</v>
      </c>
      <c r="G209" s="5" t="s">
        <v>3878</v>
      </c>
      <c r="H209" s="5" t="s">
        <v>4267</v>
      </c>
      <c r="I209" s="6"/>
    </row>
    <row r="210" spans="1:9" x14ac:dyDescent="0.25">
      <c r="A210" t="s">
        <v>402</v>
      </c>
      <c r="B210" s="9">
        <v>0</v>
      </c>
      <c r="C210">
        <v>150</v>
      </c>
      <c r="D210" s="9" t="s">
        <v>403</v>
      </c>
      <c r="F210" s="5" t="s">
        <v>4268</v>
      </c>
      <c r="G210" s="5" t="s">
        <v>3870</v>
      </c>
      <c r="H210" s="5" t="s">
        <v>4269</v>
      </c>
      <c r="I210" s="6"/>
    </row>
    <row r="211" spans="1:9" x14ac:dyDescent="0.25">
      <c r="A211" t="s">
        <v>404</v>
      </c>
      <c r="B211" s="9">
        <v>-150</v>
      </c>
      <c r="C211">
        <v>150</v>
      </c>
      <c r="D211" s="9" t="s">
        <v>405</v>
      </c>
      <c r="F211" s="5" t="s">
        <v>4271</v>
      </c>
      <c r="G211" s="5" t="s">
        <v>3949</v>
      </c>
      <c r="H211" s="5" t="s">
        <v>4272</v>
      </c>
      <c r="I211" s="6"/>
    </row>
    <row r="212" spans="1:9" x14ac:dyDescent="0.25">
      <c r="A212" t="s">
        <v>406</v>
      </c>
      <c r="B212" s="9">
        <v>0</v>
      </c>
      <c r="C212">
        <v>150</v>
      </c>
      <c r="D212" s="9" t="s">
        <v>407</v>
      </c>
      <c r="F212" s="5" t="s">
        <v>4273</v>
      </c>
      <c r="G212" s="5" t="s">
        <v>3949</v>
      </c>
      <c r="I212" s="6"/>
    </row>
    <row r="213" spans="1:9" x14ac:dyDescent="0.25">
      <c r="A213" t="s">
        <v>408</v>
      </c>
      <c r="B213" s="9">
        <v>-150</v>
      </c>
      <c r="C213">
        <v>150</v>
      </c>
      <c r="D213" s="9" t="s">
        <v>409</v>
      </c>
      <c r="F213" s="5" t="s">
        <v>4274</v>
      </c>
      <c r="G213" s="5" t="s">
        <v>3949</v>
      </c>
      <c r="I213" s="6"/>
    </row>
    <row r="214" spans="1:9" x14ac:dyDescent="0.25">
      <c r="A214" t="s">
        <v>410</v>
      </c>
      <c r="B214" s="9">
        <v>0</v>
      </c>
      <c r="C214">
        <v>150</v>
      </c>
      <c r="D214" s="9" t="s">
        <v>411</v>
      </c>
      <c r="F214" s="5" t="s">
        <v>4276</v>
      </c>
      <c r="G214" s="5" t="s">
        <v>3949</v>
      </c>
      <c r="H214" s="5" t="s">
        <v>4277</v>
      </c>
      <c r="I214" s="6"/>
    </row>
    <row r="215" spans="1:9" x14ac:dyDescent="0.25">
      <c r="A215" t="s">
        <v>412</v>
      </c>
      <c r="B215" s="9">
        <v>0</v>
      </c>
      <c r="C215">
        <v>150</v>
      </c>
      <c r="D215" s="9" t="s">
        <v>413</v>
      </c>
      <c r="F215" s="5" t="s">
        <v>4278</v>
      </c>
      <c r="G215" s="5" t="s">
        <v>3878</v>
      </c>
      <c r="I215" s="6" t="s">
        <v>4128</v>
      </c>
    </row>
    <row r="216" spans="1:9" x14ac:dyDescent="0.25">
      <c r="A216" t="s">
        <v>414</v>
      </c>
      <c r="B216" s="9">
        <v>0</v>
      </c>
      <c r="C216">
        <v>150</v>
      </c>
      <c r="D216" s="9" t="s">
        <v>6878</v>
      </c>
      <c r="F216" s="5" t="s">
        <v>4279</v>
      </c>
      <c r="G216" s="5" t="s">
        <v>3878</v>
      </c>
      <c r="I216" s="6">
        <v>94</v>
      </c>
    </row>
    <row r="217" spans="1:9" x14ac:dyDescent="0.25">
      <c r="A217" t="s">
        <v>415</v>
      </c>
      <c r="B217" s="9">
        <v>0</v>
      </c>
      <c r="C217">
        <v>150</v>
      </c>
      <c r="D217" s="9" t="s">
        <v>416</v>
      </c>
      <c r="F217" s="5" t="s">
        <v>4280</v>
      </c>
      <c r="G217" s="5" t="s">
        <v>3878</v>
      </c>
      <c r="I217" s="6">
        <v>116</v>
      </c>
    </row>
    <row r="218" spans="1:9" x14ac:dyDescent="0.25">
      <c r="A218" t="s">
        <v>417</v>
      </c>
      <c r="B218" s="10">
        <v>-150</v>
      </c>
      <c r="C218">
        <v>150</v>
      </c>
      <c r="D218" s="9" t="s">
        <v>418</v>
      </c>
      <c r="F218" s="5" t="s">
        <v>4281</v>
      </c>
      <c r="G218" s="5" t="s">
        <v>3878</v>
      </c>
      <c r="I218" s="6"/>
    </row>
    <row r="219" spans="1:9" x14ac:dyDescent="0.25">
      <c r="A219" t="s">
        <v>419</v>
      </c>
      <c r="B219" s="9">
        <v>0</v>
      </c>
      <c r="C219">
        <v>150</v>
      </c>
      <c r="D219" s="9" t="s">
        <v>420</v>
      </c>
      <c r="F219" s="5" t="s">
        <v>4282</v>
      </c>
      <c r="G219" s="5" t="s">
        <v>3884</v>
      </c>
      <c r="I219" s="6"/>
    </row>
    <row r="220" spans="1:9" x14ac:dyDescent="0.25">
      <c r="A220" t="s">
        <v>421</v>
      </c>
      <c r="B220" s="9">
        <v>0</v>
      </c>
      <c r="C220">
        <v>150</v>
      </c>
      <c r="D220" s="9" t="s">
        <v>422</v>
      </c>
      <c r="F220" s="5" t="s">
        <v>4283</v>
      </c>
      <c r="G220" s="5" t="s">
        <v>4284</v>
      </c>
      <c r="H220" s="5" t="s">
        <v>4285</v>
      </c>
      <c r="I220" s="6"/>
    </row>
    <row r="221" spans="1:9" x14ac:dyDescent="0.25">
      <c r="A221" t="s">
        <v>423</v>
      </c>
      <c r="B221" s="9">
        <v>0</v>
      </c>
      <c r="C221">
        <v>150</v>
      </c>
      <c r="D221" s="9" t="s">
        <v>424</v>
      </c>
      <c r="F221" s="5" t="s">
        <v>4286</v>
      </c>
      <c r="G221" s="5" t="s">
        <v>4284</v>
      </c>
      <c r="I221" s="6"/>
    </row>
    <row r="222" spans="1:9" x14ac:dyDescent="0.25">
      <c r="A222" t="s">
        <v>425</v>
      </c>
      <c r="B222" s="9">
        <v>0</v>
      </c>
      <c r="C222">
        <v>150</v>
      </c>
      <c r="D222" s="9" t="s">
        <v>426</v>
      </c>
      <c r="F222" s="5" t="s">
        <v>4287</v>
      </c>
      <c r="G222" s="5" t="s">
        <v>3884</v>
      </c>
      <c r="I222" s="6"/>
    </row>
    <row r="223" spans="1:9" x14ac:dyDescent="0.25">
      <c r="A223" t="s">
        <v>427</v>
      </c>
      <c r="B223" s="9">
        <v>0</v>
      </c>
      <c r="C223">
        <v>150</v>
      </c>
      <c r="D223" s="9" t="s">
        <v>428</v>
      </c>
      <c r="F223" s="5" t="s">
        <v>4288</v>
      </c>
      <c r="G223" s="5" t="s">
        <v>3884</v>
      </c>
      <c r="I223" s="6"/>
    </row>
    <row r="224" spans="1:9" x14ac:dyDescent="0.25">
      <c r="A224" t="s">
        <v>429</v>
      </c>
      <c r="B224" s="9">
        <v>0</v>
      </c>
      <c r="C224">
        <v>150</v>
      </c>
      <c r="D224" s="9" t="s">
        <v>430</v>
      </c>
      <c r="F224" s="5" t="s">
        <v>4289</v>
      </c>
      <c r="G224" s="5" t="s">
        <v>3884</v>
      </c>
      <c r="I224" s="6">
        <v>17</v>
      </c>
    </row>
    <row r="225" spans="1:9" x14ac:dyDescent="0.25">
      <c r="A225" t="s">
        <v>431</v>
      </c>
      <c r="B225" s="9">
        <v>0</v>
      </c>
      <c r="C225">
        <v>150</v>
      </c>
      <c r="D225" s="9" t="s">
        <v>432</v>
      </c>
      <c r="F225" s="5" t="s">
        <v>4288</v>
      </c>
      <c r="G225" s="5" t="s">
        <v>3884</v>
      </c>
      <c r="I225" s="6">
        <v>17</v>
      </c>
    </row>
    <row r="226" spans="1:9" x14ac:dyDescent="0.25">
      <c r="A226" t="s">
        <v>433</v>
      </c>
      <c r="B226" s="9">
        <v>-150</v>
      </c>
      <c r="C226">
        <v>150</v>
      </c>
      <c r="D226" s="9" t="s">
        <v>434</v>
      </c>
      <c r="F226" s="5" t="s">
        <v>4290</v>
      </c>
      <c r="G226" s="5" t="s">
        <v>4291</v>
      </c>
      <c r="H226" s="5" t="s">
        <v>4292</v>
      </c>
      <c r="I226" s="6"/>
    </row>
    <row r="227" spans="1:9" x14ac:dyDescent="0.25">
      <c r="A227" t="s">
        <v>435</v>
      </c>
      <c r="B227" s="9">
        <v>0</v>
      </c>
      <c r="C227">
        <v>150</v>
      </c>
      <c r="D227" s="9" t="s">
        <v>436</v>
      </c>
      <c r="F227" s="5" t="s">
        <v>4293</v>
      </c>
      <c r="G227" s="5" t="s">
        <v>3878</v>
      </c>
      <c r="I227" s="6"/>
    </row>
    <row r="228" spans="1:9" x14ac:dyDescent="0.25">
      <c r="A228" t="s">
        <v>437</v>
      </c>
      <c r="B228" s="9">
        <v>0</v>
      </c>
      <c r="C228">
        <v>150</v>
      </c>
      <c r="D228" s="9" t="s">
        <v>438</v>
      </c>
      <c r="F228" s="5" t="s">
        <v>4294</v>
      </c>
      <c r="G228" s="5" t="s">
        <v>3884</v>
      </c>
      <c r="H228" s="5" t="s">
        <v>4295</v>
      </c>
      <c r="I228" s="6">
        <v>58</v>
      </c>
    </row>
    <row r="229" spans="1:9" x14ac:dyDescent="0.25">
      <c r="A229" t="s">
        <v>439</v>
      </c>
      <c r="B229" s="9">
        <v>-150</v>
      </c>
      <c r="C229">
        <v>150</v>
      </c>
      <c r="D229" s="9" t="s">
        <v>440</v>
      </c>
      <c r="F229" s="5" t="s">
        <v>4297</v>
      </c>
      <c r="G229" s="5" t="s">
        <v>4291</v>
      </c>
      <c r="I229" s="6">
        <v>100</v>
      </c>
    </row>
    <row r="230" spans="1:9" x14ac:dyDescent="0.25">
      <c r="A230" t="s">
        <v>441</v>
      </c>
      <c r="B230" s="9">
        <v>0</v>
      </c>
      <c r="C230">
        <v>150</v>
      </c>
      <c r="D230" s="9" t="s">
        <v>442</v>
      </c>
      <c r="F230" s="5" t="s">
        <v>4298</v>
      </c>
      <c r="G230" s="5" t="s">
        <v>3901</v>
      </c>
      <c r="I230" s="6">
        <v>16</v>
      </c>
    </row>
    <row r="231" spans="1:9" x14ac:dyDescent="0.25">
      <c r="A231" t="s">
        <v>443</v>
      </c>
      <c r="B231" s="9">
        <v>0</v>
      </c>
      <c r="C231">
        <v>150</v>
      </c>
      <c r="D231" s="9" t="s">
        <v>444</v>
      </c>
      <c r="F231" s="5" t="s">
        <v>4299</v>
      </c>
      <c r="G231" s="5" t="s">
        <v>3901</v>
      </c>
      <c r="I231" s="6">
        <v>16</v>
      </c>
    </row>
    <row r="232" spans="1:9" x14ac:dyDescent="0.25">
      <c r="A232" t="s">
        <v>445</v>
      </c>
      <c r="B232" s="9">
        <v>0</v>
      </c>
      <c r="C232">
        <v>150</v>
      </c>
      <c r="D232" s="9" t="s">
        <v>446</v>
      </c>
      <c r="F232" s="5" t="s">
        <v>4300</v>
      </c>
      <c r="G232" s="5" t="s">
        <v>3901</v>
      </c>
      <c r="I232" s="6">
        <v>16</v>
      </c>
    </row>
    <row r="233" spans="1:9" x14ac:dyDescent="0.25">
      <c r="A233" t="s">
        <v>447</v>
      </c>
      <c r="B233" s="9">
        <v>0</v>
      </c>
      <c r="C233">
        <v>150</v>
      </c>
      <c r="D233" s="9" t="s">
        <v>448</v>
      </c>
      <c r="F233" s="5" t="s">
        <v>4301</v>
      </c>
      <c r="G233" s="5" t="s">
        <v>3870</v>
      </c>
      <c r="I233" s="6">
        <v>129</v>
      </c>
    </row>
    <row r="234" spans="1:9" x14ac:dyDescent="0.25">
      <c r="A234" t="s">
        <v>449</v>
      </c>
      <c r="B234" s="9">
        <v>-150</v>
      </c>
      <c r="C234">
        <v>150</v>
      </c>
      <c r="D234" s="9" t="s">
        <v>450</v>
      </c>
      <c r="F234" s="5" t="s">
        <v>4302</v>
      </c>
      <c r="G234" s="5" t="s">
        <v>4291</v>
      </c>
      <c r="H234" s="5" t="s">
        <v>4303</v>
      </c>
      <c r="I234" s="6">
        <v>107</v>
      </c>
    </row>
    <row r="235" spans="1:9" x14ac:dyDescent="0.25">
      <c r="A235" t="s">
        <v>451</v>
      </c>
      <c r="B235" s="9">
        <v>0</v>
      </c>
      <c r="C235">
        <v>150</v>
      </c>
      <c r="D235" s="9" t="s">
        <v>452</v>
      </c>
      <c r="F235" s="5" t="s">
        <v>4304</v>
      </c>
      <c r="G235" s="5" t="s">
        <v>4291</v>
      </c>
      <c r="H235" s="5" t="s">
        <v>4305</v>
      </c>
      <c r="I235" s="6"/>
    </row>
    <row r="236" spans="1:9" x14ac:dyDescent="0.25">
      <c r="A236" t="s">
        <v>453</v>
      </c>
      <c r="B236" s="9">
        <v>-150</v>
      </c>
      <c r="C236">
        <v>150</v>
      </c>
      <c r="D236" s="9" t="s">
        <v>454</v>
      </c>
      <c r="F236" s="5" t="s">
        <v>4306</v>
      </c>
      <c r="G236" s="5" t="s">
        <v>3870</v>
      </c>
      <c r="H236" s="5" t="s">
        <v>4307</v>
      </c>
      <c r="I236" s="6"/>
    </row>
    <row r="237" spans="1:9" x14ac:dyDescent="0.25">
      <c r="A237" t="s">
        <v>455</v>
      </c>
      <c r="B237" s="9">
        <v>0</v>
      </c>
      <c r="C237">
        <v>150</v>
      </c>
      <c r="D237" s="9" t="s">
        <v>456</v>
      </c>
      <c r="F237" s="5" t="s">
        <v>4308</v>
      </c>
      <c r="G237" s="5" t="s">
        <v>3870</v>
      </c>
      <c r="H237" s="5" t="s">
        <v>4309</v>
      </c>
      <c r="I237" s="6"/>
    </row>
    <row r="238" spans="1:9" x14ac:dyDescent="0.25">
      <c r="A238" t="s">
        <v>457</v>
      </c>
      <c r="B238" s="9">
        <v>-150</v>
      </c>
      <c r="C238">
        <v>150</v>
      </c>
      <c r="D238" s="9" t="s">
        <v>458</v>
      </c>
      <c r="F238" s="5" t="s">
        <v>4310</v>
      </c>
      <c r="G238" s="5" t="s">
        <v>3870</v>
      </c>
      <c r="H238" s="5" t="s">
        <v>4311</v>
      </c>
      <c r="I238" s="6"/>
    </row>
    <row r="239" spans="1:9" x14ac:dyDescent="0.25">
      <c r="A239" t="s">
        <v>459</v>
      </c>
      <c r="B239" s="9">
        <v>0</v>
      </c>
      <c r="C239">
        <v>150</v>
      </c>
      <c r="D239" s="9" t="s">
        <v>460</v>
      </c>
      <c r="F239" s="5" t="s">
        <v>4312</v>
      </c>
      <c r="G239" s="5" t="s">
        <v>3878</v>
      </c>
      <c r="H239" s="5" t="s">
        <v>4313</v>
      </c>
      <c r="I239" s="6"/>
    </row>
    <row r="240" spans="1:9" x14ac:dyDescent="0.25">
      <c r="A240" t="s">
        <v>461</v>
      </c>
      <c r="B240" s="9">
        <v>0</v>
      </c>
      <c r="C240">
        <v>150</v>
      </c>
      <c r="D240" s="9" t="s">
        <v>462</v>
      </c>
      <c r="F240" s="5" t="s">
        <v>4317</v>
      </c>
      <c r="G240" s="5" t="s">
        <v>3870</v>
      </c>
      <c r="H240" s="5" t="s">
        <v>4318</v>
      </c>
      <c r="I240" s="6"/>
    </row>
    <row r="241" spans="1:9" x14ac:dyDescent="0.25">
      <c r="A241" t="s">
        <v>463</v>
      </c>
      <c r="B241" s="9">
        <v>0</v>
      </c>
      <c r="C241">
        <v>150</v>
      </c>
      <c r="D241" s="9" t="s">
        <v>6879</v>
      </c>
      <c r="F241" s="5" t="s">
        <v>4319</v>
      </c>
      <c r="G241" s="5" t="s">
        <v>3922</v>
      </c>
      <c r="I241" s="6">
        <v>127</v>
      </c>
    </row>
    <row r="242" spans="1:9" x14ac:dyDescent="0.25">
      <c r="A242" t="s">
        <v>464</v>
      </c>
      <c r="B242" s="9">
        <v>0</v>
      </c>
      <c r="C242">
        <v>150</v>
      </c>
      <c r="D242" s="9" t="s">
        <v>465</v>
      </c>
      <c r="F242" s="5" t="s">
        <v>4320</v>
      </c>
      <c r="G242" s="5" t="s">
        <v>3878</v>
      </c>
      <c r="H242" s="5" t="s">
        <v>4321</v>
      </c>
      <c r="I242" s="6"/>
    </row>
    <row r="243" spans="1:9" x14ac:dyDescent="0.25">
      <c r="A243" t="s">
        <v>466</v>
      </c>
      <c r="B243" s="9">
        <v>0</v>
      </c>
      <c r="C243">
        <v>150</v>
      </c>
      <c r="D243" s="9" t="s">
        <v>467</v>
      </c>
      <c r="F243" s="5" t="s">
        <v>4323</v>
      </c>
      <c r="G243" s="5" t="s">
        <v>3939</v>
      </c>
      <c r="H243" s="5" t="s">
        <v>4324</v>
      </c>
      <c r="I243" s="6"/>
    </row>
    <row r="244" spans="1:9" x14ac:dyDescent="0.25">
      <c r="A244" t="s">
        <v>468</v>
      </c>
      <c r="B244" s="9">
        <v>0</v>
      </c>
      <c r="C244">
        <v>150</v>
      </c>
      <c r="D244" s="9" t="s">
        <v>469</v>
      </c>
      <c r="F244" s="5" t="s">
        <v>4323</v>
      </c>
      <c r="G244" s="5" t="s">
        <v>3939</v>
      </c>
      <c r="H244" s="5" t="s">
        <v>4324</v>
      </c>
      <c r="I244" s="6"/>
    </row>
    <row r="245" spans="1:9" x14ac:dyDescent="0.25">
      <c r="A245" t="s">
        <v>470</v>
      </c>
      <c r="B245" s="9">
        <v>0</v>
      </c>
      <c r="C245">
        <v>150</v>
      </c>
      <c r="D245" s="9" t="s">
        <v>471</v>
      </c>
      <c r="F245" s="5" t="s">
        <v>4325</v>
      </c>
      <c r="G245" s="5" t="s">
        <v>3870</v>
      </c>
      <c r="H245" s="5" t="s">
        <v>4326</v>
      </c>
      <c r="I245" s="6"/>
    </row>
    <row r="246" spans="1:9" x14ac:dyDescent="0.25">
      <c r="A246" t="s">
        <v>472</v>
      </c>
      <c r="B246" s="9">
        <v>0</v>
      </c>
      <c r="C246">
        <v>150</v>
      </c>
      <c r="D246" s="9" t="s">
        <v>473</v>
      </c>
      <c r="F246" s="5" t="s">
        <v>4329</v>
      </c>
      <c r="G246" s="5" t="s">
        <v>4330</v>
      </c>
      <c r="H246" s="5" t="s">
        <v>4331</v>
      </c>
      <c r="I246" s="6"/>
    </row>
    <row r="247" spans="1:9" x14ac:dyDescent="0.25">
      <c r="A247" s="1" t="s">
        <v>2642</v>
      </c>
      <c r="B247" s="9">
        <v>-150</v>
      </c>
      <c r="C247">
        <v>150</v>
      </c>
      <c r="D247" s="9" t="s">
        <v>475</v>
      </c>
      <c r="F247" s="5" t="s">
        <v>4334</v>
      </c>
      <c r="G247" s="5" t="s">
        <v>3939</v>
      </c>
      <c r="H247" s="5" t="s">
        <v>4335</v>
      </c>
      <c r="I247" s="6"/>
    </row>
    <row r="248" spans="1:9" x14ac:dyDescent="0.25">
      <c r="A248" t="s">
        <v>476</v>
      </c>
      <c r="B248" s="9">
        <v>0</v>
      </c>
      <c r="C248">
        <v>150</v>
      </c>
      <c r="D248" s="9" t="s">
        <v>477</v>
      </c>
      <c r="F248" s="5" t="s">
        <v>4339</v>
      </c>
      <c r="G248" s="5" t="s">
        <v>3884</v>
      </c>
      <c r="H248" s="5" t="s">
        <v>4340</v>
      </c>
      <c r="I248" s="6"/>
    </row>
    <row r="249" spans="1:9" x14ac:dyDescent="0.25">
      <c r="A249" t="s">
        <v>478</v>
      </c>
      <c r="B249" s="9">
        <v>0</v>
      </c>
      <c r="C249">
        <v>150</v>
      </c>
      <c r="D249" s="9" t="s">
        <v>479</v>
      </c>
      <c r="F249" s="5" t="s">
        <v>4341</v>
      </c>
      <c r="G249" s="5" t="s">
        <v>4291</v>
      </c>
      <c r="H249" s="5" t="s">
        <v>4342</v>
      </c>
      <c r="I249" s="6"/>
    </row>
    <row r="250" spans="1:9" x14ac:dyDescent="0.25">
      <c r="A250" t="s">
        <v>480</v>
      </c>
      <c r="B250" s="9">
        <v>0</v>
      </c>
      <c r="C250">
        <v>150</v>
      </c>
      <c r="D250" s="9" t="s">
        <v>481</v>
      </c>
      <c r="F250" s="5" t="s">
        <v>4343</v>
      </c>
      <c r="G250" s="5" t="s">
        <v>3884</v>
      </c>
      <c r="H250" s="5" t="s">
        <v>4344</v>
      </c>
      <c r="I250" s="6">
        <v>23</v>
      </c>
    </row>
    <row r="251" spans="1:9" x14ac:dyDescent="0.25">
      <c r="A251" t="s">
        <v>482</v>
      </c>
      <c r="B251" s="9">
        <v>0</v>
      </c>
      <c r="C251">
        <v>150</v>
      </c>
      <c r="D251" s="9" t="s">
        <v>483</v>
      </c>
      <c r="F251" s="5" t="s">
        <v>4345</v>
      </c>
      <c r="G251" s="5" t="s">
        <v>3878</v>
      </c>
      <c r="H251" s="5" t="s">
        <v>4346</v>
      </c>
      <c r="I251" s="6"/>
    </row>
    <row r="252" spans="1:9" x14ac:dyDescent="0.25">
      <c r="A252" t="s">
        <v>484</v>
      </c>
      <c r="B252" s="9">
        <v>-150</v>
      </c>
      <c r="C252">
        <v>150</v>
      </c>
      <c r="D252" s="9" t="s">
        <v>485</v>
      </c>
      <c r="F252" s="5" t="s">
        <v>4347</v>
      </c>
      <c r="G252" s="5" t="s">
        <v>3870</v>
      </c>
      <c r="H252" s="5" t="s">
        <v>4348</v>
      </c>
      <c r="I252" s="6"/>
    </row>
    <row r="253" spans="1:9" x14ac:dyDescent="0.25">
      <c r="A253" t="s">
        <v>486</v>
      </c>
      <c r="B253" s="9">
        <v>0</v>
      </c>
      <c r="C253">
        <v>150</v>
      </c>
      <c r="D253" s="9" t="s">
        <v>487</v>
      </c>
      <c r="F253" s="5" t="s">
        <v>4349</v>
      </c>
      <c r="G253" s="5" t="s">
        <v>4097</v>
      </c>
      <c r="H253" s="5" t="s">
        <v>4350</v>
      </c>
      <c r="I253" s="6"/>
    </row>
    <row r="254" spans="1:9" x14ac:dyDescent="0.25">
      <c r="A254" t="s">
        <v>488</v>
      </c>
      <c r="B254" s="9">
        <v>0</v>
      </c>
      <c r="C254">
        <v>150</v>
      </c>
      <c r="D254" s="9" t="s">
        <v>489</v>
      </c>
      <c r="F254" s="5" t="s">
        <v>4351</v>
      </c>
      <c r="G254" s="5" t="s">
        <v>4097</v>
      </c>
      <c r="H254" s="5" t="s">
        <v>4350</v>
      </c>
      <c r="I254" s="6"/>
    </row>
    <row r="255" spans="1:9" x14ac:dyDescent="0.25">
      <c r="A255" t="s">
        <v>490</v>
      </c>
      <c r="B255" s="9">
        <v>0</v>
      </c>
      <c r="C255">
        <v>150</v>
      </c>
      <c r="D255" s="9" t="s">
        <v>491</v>
      </c>
      <c r="F255" s="5" t="s">
        <v>4352</v>
      </c>
      <c r="G255" s="5" t="s">
        <v>4097</v>
      </c>
      <c r="H255" s="5" t="s">
        <v>4350</v>
      </c>
      <c r="I255" s="6"/>
    </row>
    <row r="256" spans="1:9" x14ac:dyDescent="0.25">
      <c r="A256" t="s">
        <v>492</v>
      </c>
      <c r="B256" s="9">
        <v>0</v>
      </c>
      <c r="C256">
        <v>150</v>
      </c>
      <c r="D256" s="9" t="s">
        <v>493</v>
      </c>
      <c r="F256" s="5" t="s">
        <v>4353</v>
      </c>
      <c r="G256" s="5" t="s">
        <v>3894</v>
      </c>
      <c r="I256" s="6"/>
    </row>
    <row r="257" spans="1:9" x14ac:dyDescent="0.25">
      <c r="A257" t="s">
        <v>494</v>
      </c>
      <c r="B257" s="9">
        <v>0</v>
      </c>
      <c r="C257">
        <v>150</v>
      </c>
      <c r="D257" s="9" t="s">
        <v>495</v>
      </c>
      <c r="F257" s="5" t="s">
        <v>4354</v>
      </c>
      <c r="G257" s="5" t="s">
        <v>3894</v>
      </c>
      <c r="H257" s="5" t="s">
        <v>4355</v>
      </c>
      <c r="I257" s="6"/>
    </row>
    <row r="258" spans="1:9" x14ac:dyDescent="0.25">
      <c r="A258" t="s">
        <v>496</v>
      </c>
      <c r="B258" s="9">
        <v>0</v>
      </c>
      <c r="C258">
        <v>150</v>
      </c>
      <c r="D258" s="9" t="s">
        <v>497</v>
      </c>
      <c r="F258" s="5" t="s">
        <v>4356</v>
      </c>
      <c r="G258" s="5" t="s">
        <v>3870</v>
      </c>
      <c r="H258" s="5" t="s">
        <v>4357</v>
      </c>
      <c r="I258" s="6"/>
    </row>
    <row r="259" spans="1:9" x14ac:dyDescent="0.25">
      <c r="A259" t="s">
        <v>498</v>
      </c>
      <c r="B259" s="9">
        <v>-150</v>
      </c>
      <c r="C259">
        <v>150</v>
      </c>
      <c r="D259" s="9" t="s">
        <v>499</v>
      </c>
      <c r="F259" s="5" t="s">
        <v>4358</v>
      </c>
      <c r="G259" s="5" t="s">
        <v>4284</v>
      </c>
      <c r="H259" s="5" t="s">
        <v>4359</v>
      </c>
      <c r="I259" s="6"/>
    </row>
    <row r="260" spans="1:9" x14ac:dyDescent="0.25">
      <c r="A260" t="s">
        <v>500</v>
      </c>
      <c r="B260" s="9">
        <v>0</v>
      </c>
      <c r="C260">
        <v>150</v>
      </c>
      <c r="D260" s="9" t="s">
        <v>501</v>
      </c>
      <c r="F260" s="5" t="s">
        <v>4362</v>
      </c>
      <c r="G260" s="5" t="s">
        <v>3870</v>
      </c>
      <c r="H260" s="5" t="s">
        <v>4363</v>
      </c>
      <c r="I260" s="6">
        <v>51</v>
      </c>
    </row>
    <row r="261" spans="1:9" x14ac:dyDescent="0.25">
      <c r="A261" t="s">
        <v>502</v>
      </c>
      <c r="B261" s="9">
        <v>0</v>
      </c>
      <c r="C261">
        <v>150</v>
      </c>
      <c r="D261" s="9" t="s">
        <v>503</v>
      </c>
      <c r="F261" s="5" t="s">
        <v>4364</v>
      </c>
      <c r="G261" s="5" t="s">
        <v>3870</v>
      </c>
      <c r="H261" s="5" t="s">
        <v>4365</v>
      </c>
      <c r="I261" s="6">
        <v>132</v>
      </c>
    </row>
    <row r="262" spans="1:9" x14ac:dyDescent="0.25">
      <c r="A262" t="s">
        <v>504</v>
      </c>
      <c r="B262" s="9">
        <v>-150</v>
      </c>
      <c r="C262">
        <v>150</v>
      </c>
      <c r="D262" s="9" t="s">
        <v>505</v>
      </c>
      <c r="F262" s="5" t="s">
        <v>4368</v>
      </c>
      <c r="G262" s="5" t="s">
        <v>3870</v>
      </c>
      <c r="H262" s="5" t="s">
        <v>4369</v>
      </c>
      <c r="I262" s="6"/>
    </row>
    <row r="263" spans="1:9" x14ac:dyDescent="0.25">
      <c r="A263" t="s">
        <v>506</v>
      </c>
      <c r="B263" s="9">
        <v>0</v>
      </c>
      <c r="C263">
        <v>150</v>
      </c>
      <c r="D263" s="9" t="s">
        <v>507</v>
      </c>
      <c r="F263" s="5" t="s">
        <v>4370</v>
      </c>
      <c r="G263" s="5" t="s">
        <v>3870</v>
      </c>
      <c r="H263" s="5" t="s">
        <v>4371</v>
      </c>
      <c r="I263" s="6"/>
    </row>
    <row r="264" spans="1:9" x14ac:dyDescent="0.25">
      <c r="A264" t="s">
        <v>508</v>
      </c>
      <c r="B264" s="9">
        <v>-150</v>
      </c>
      <c r="C264">
        <v>150</v>
      </c>
      <c r="D264" s="9" t="s">
        <v>509</v>
      </c>
      <c r="F264" s="5" t="s">
        <v>4374</v>
      </c>
      <c r="G264" s="5" t="s">
        <v>3870</v>
      </c>
      <c r="H264" s="5" t="s">
        <v>4375</v>
      </c>
      <c r="I264" s="6"/>
    </row>
    <row r="265" spans="1:9" x14ac:dyDescent="0.25">
      <c r="A265" t="s">
        <v>510</v>
      </c>
      <c r="B265" s="9">
        <v>-150</v>
      </c>
      <c r="C265">
        <v>150</v>
      </c>
      <c r="D265" s="9" t="s">
        <v>511</v>
      </c>
      <c r="F265" s="5" t="s">
        <v>4380</v>
      </c>
      <c r="G265" s="5" t="s">
        <v>4291</v>
      </c>
      <c r="H265" s="5" t="s">
        <v>4381</v>
      </c>
      <c r="I265" s="6"/>
    </row>
    <row r="266" spans="1:9" x14ac:dyDescent="0.25">
      <c r="A266" t="s">
        <v>512</v>
      </c>
      <c r="B266" s="9">
        <v>-150</v>
      </c>
      <c r="C266">
        <v>150</v>
      </c>
      <c r="D266" s="9" t="s">
        <v>513</v>
      </c>
      <c r="F266" s="5" t="s">
        <v>4382</v>
      </c>
      <c r="G266" s="5" t="s">
        <v>3977</v>
      </c>
      <c r="H266" s="5" t="s">
        <v>4383</v>
      </c>
      <c r="I266" s="6"/>
    </row>
    <row r="267" spans="1:9" x14ac:dyDescent="0.25">
      <c r="A267" t="s">
        <v>514</v>
      </c>
      <c r="B267" s="9">
        <v>0</v>
      </c>
      <c r="C267">
        <v>150</v>
      </c>
      <c r="D267" s="9" t="s">
        <v>515</v>
      </c>
      <c r="F267" s="5" t="s">
        <v>4384</v>
      </c>
      <c r="G267" s="5" t="s">
        <v>3977</v>
      </c>
      <c r="I267" s="6"/>
    </row>
    <row r="268" spans="1:9" x14ac:dyDescent="0.25">
      <c r="A268" t="s">
        <v>516</v>
      </c>
      <c r="B268" s="9">
        <v>0</v>
      </c>
      <c r="C268">
        <v>150</v>
      </c>
      <c r="D268" s="9" t="s">
        <v>517</v>
      </c>
      <c r="F268" s="5" t="s">
        <v>4385</v>
      </c>
      <c r="G268" s="5" t="s">
        <v>4330</v>
      </c>
      <c r="H268" s="5" t="s">
        <v>4386</v>
      </c>
      <c r="I268" s="6" t="s">
        <v>4387</v>
      </c>
    </row>
    <row r="269" spans="1:9" x14ac:dyDescent="0.25">
      <c r="A269" t="s">
        <v>518</v>
      </c>
      <c r="B269" s="9">
        <v>0</v>
      </c>
      <c r="C269">
        <v>150</v>
      </c>
      <c r="D269" s="9" t="s">
        <v>519</v>
      </c>
      <c r="F269" s="5" t="s">
        <v>4388</v>
      </c>
      <c r="G269" s="5" t="s">
        <v>3884</v>
      </c>
      <c r="I269" s="6">
        <v>2</v>
      </c>
    </row>
    <row r="270" spans="1:9" x14ac:dyDescent="0.25">
      <c r="A270" t="s">
        <v>520</v>
      </c>
      <c r="B270" s="9">
        <v>0</v>
      </c>
      <c r="C270">
        <v>150</v>
      </c>
      <c r="D270" s="9" t="s">
        <v>521</v>
      </c>
      <c r="F270" s="5" t="s">
        <v>4389</v>
      </c>
      <c r="G270" s="5" t="s">
        <v>3884</v>
      </c>
      <c r="H270" s="5" t="s">
        <v>4390</v>
      </c>
      <c r="I270" s="6"/>
    </row>
    <row r="271" spans="1:9" x14ac:dyDescent="0.25">
      <c r="A271" t="s">
        <v>522</v>
      </c>
      <c r="B271" s="9">
        <v>0</v>
      </c>
      <c r="C271">
        <v>150</v>
      </c>
      <c r="D271" s="9" t="s">
        <v>523</v>
      </c>
      <c r="F271" s="5" t="s">
        <v>4391</v>
      </c>
      <c r="G271" s="5" t="s">
        <v>4392</v>
      </c>
      <c r="H271" s="5" t="s">
        <v>4393</v>
      </c>
      <c r="I271" s="6"/>
    </row>
    <row r="272" spans="1:9" x14ac:dyDescent="0.25">
      <c r="A272" t="s">
        <v>524</v>
      </c>
      <c r="B272" s="9">
        <v>-150</v>
      </c>
      <c r="C272">
        <v>150</v>
      </c>
      <c r="D272" s="9" t="s">
        <v>525</v>
      </c>
      <c r="F272" s="5" t="s">
        <v>4394</v>
      </c>
      <c r="G272" s="5" t="s">
        <v>3949</v>
      </c>
      <c r="H272" s="5" t="s">
        <v>4210</v>
      </c>
      <c r="I272" s="6"/>
    </row>
    <row r="273" spans="1:9" x14ac:dyDescent="0.25">
      <c r="A273" t="s">
        <v>526</v>
      </c>
      <c r="B273" s="9">
        <v>0</v>
      </c>
      <c r="C273">
        <v>150</v>
      </c>
      <c r="D273" s="9" t="s">
        <v>3311</v>
      </c>
      <c r="F273" s="5" t="s">
        <v>4397</v>
      </c>
      <c r="G273" s="5" t="s">
        <v>4291</v>
      </c>
      <c r="H273" s="5" t="s">
        <v>4398</v>
      </c>
      <c r="I273" s="6"/>
    </row>
    <row r="274" spans="1:9" x14ac:dyDescent="0.25">
      <c r="A274" t="s">
        <v>527</v>
      </c>
      <c r="B274" s="9">
        <v>0</v>
      </c>
      <c r="C274">
        <v>150</v>
      </c>
      <c r="D274" s="9" t="s">
        <v>528</v>
      </c>
      <c r="F274" s="5" t="s">
        <v>4400</v>
      </c>
      <c r="G274" s="5" t="s">
        <v>3870</v>
      </c>
      <c r="H274" s="5" t="s">
        <v>4401</v>
      </c>
      <c r="I274" s="6">
        <v>51</v>
      </c>
    </row>
    <row r="275" spans="1:9" x14ac:dyDescent="0.25">
      <c r="A275" t="s">
        <v>529</v>
      </c>
      <c r="B275" s="9">
        <v>0</v>
      </c>
      <c r="C275">
        <v>150</v>
      </c>
      <c r="D275" s="9" t="s">
        <v>530</v>
      </c>
      <c r="F275" s="5" t="s">
        <v>4402</v>
      </c>
      <c r="G275" s="5" t="s">
        <v>3870</v>
      </c>
      <c r="H275" s="5" t="s">
        <v>4403</v>
      </c>
      <c r="I275" s="6">
        <v>51</v>
      </c>
    </row>
    <row r="276" spans="1:9" x14ac:dyDescent="0.25">
      <c r="A276" t="s">
        <v>531</v>
      </c>
      <c r="B276" s="9">
        <v>0</v>
      </c>
      <c r="C276">
        <v>150</v>
      </c>
      <c r="D276" s="9" t="s">
        <v>3309</v>
      </c>
      <c r="F276" s="5" t="s">
        <v>4405</v>
      </c>
      <c r="G276" s="5" t="s">
        <v>4291</v>
      </c>
      <c r="H276" s="5" t="s">
        <v>4406</v>
      </c>
      <c r="I276" s="6"/>
    </row>
    <row r="277" spans="1:9" x14ac:dyDescent="0.25">
      <c r="A277" t="s">
        <v>532</v>
      </c>
      <c r="B277" s="9">
        <v>0</v>
      </c>
      <c r="C277">
        <v>150</v>
      </c>
      <c r="D277" s="9" t="s">
        <v>533</v>
      </c>
      <c r="F277" s="5" t="s">
        <v>4409</v>
      </c>
      <c r="G277" s="5" t="s">
        <v>4291</v>
      </c>
      <c r="H277" s="5" t="s">
        <v>4410</v>
      </c>
      <c r="I277" s="6"/>
    </row>
    <row r="278" spans="1:9" x14ac:dyDescent="0.25">
      <c r="A278" t="s">
        <v>534</v>
      </c>
      <c r="B278" s="9">
        <v>0</v>
      </c>
      <c r="C278">
        <v>150</v>
      </c>
      <c r="D278" s="9" t="s">
        <v>535</v>
      </c>
      <c r="F278" s="5" t="s">
        <v>4412</v>
      </c>
      <c r="G278" s="5" t="s">
        <v>4413</v>
      </c>
      <c r="H278" s="5" t="s">
        <v>4414</v>
      </c>
      <c r="I278" s="6"/>
    </row>
    <row r="279" spans="1:9" x14ac:dyDescent="0.25">
      <c r="A279" t="s">
        <v>536</v>
      </c>
      <c r="B279" s="9">
        <v>-150</v>
      </c>
      <c r="C279">
        <v>150</v>
      </c>
      <c r="D279" s="9" t="s">
        <v>537</v>
      </c>
      <c r="F279" s="5" t="s">
        <v>4415</v>
      </c>
      <c r="G279" s="5" t="s">
        <v>3870</v>
      </c>
      <c r="H279" s="5" t="s">
        <v>3957</v>
      </c>
      <c r="I279" s="6"/>
    </row>
    <row r="280" spans="1:9" x14ac:dyDescent="0.25">
      <c r="A280" t="s">
        <v>538</v>
      </c>
      <c r="B280" s="9">
        <v>0</v>
      </c>
      <c r="C280">
        <v>150</v>
      </c>
      <c r="D280" s="9" t="s">
        <v>539</v>
      </c>
      <c r="F280" s="5" t="s">
        <v>4416</v>
      </c>
      <c r="G280" s="5" t="s">
        <v>3894</v>
      </c>
      <c r="H280" s="5" t="s">
        <v>4417</v>
      </c>
      <c r="I280" s="6"/>
    </row>
    <row r="281" spans="1:9" x14ac:dyDescent="0.25">
      <c r="A281" s="1" t="s">
        <v>2716</v>
      </c>
      <c r="B281" s="9">
        <v>0</v>
      </c>
      <c r="C281">
        <v>150</v>
      </c>
      <c r="D281" s="9" t="s">
        <v>541</v>
      </c>
      <c r="F281" s="5" t="s">
        <v>4420</v>
      </c>
      <c r="G281" s="5" t="s">
        <v>3878</v>
      </c>
      <c r="H281" s="5" t="s">
        <v>4421</v>
      </c>
      <c r="I281" s="6"/>
    </row>
    <row r="282" spans="1:9" x14ac:dyDescent="0.25">
      <c r="A282" t="s">
        <v>542</v>
      </c>
      <c r="B282" s="9">
        <v>0</v>
      </c>
      <c r="C282">
        <v>150</v>
      </c>
      <c r="D282" s="9" t="s">
        <v>6880</v>
      </c>
      <c r="F282" s="5" t="s">
        <v>4422</v>
      </c>
      <c r="G282" s="5" t="s">
        <v>4413</v>
      </c>
      <c r="H282" s="5" t="s">
        <v>4423</v>
      </c>
      <c r="I282" s="6"/>
    </row>
    <row r="283" spans="1:9" x14ac:dyDescent="0.25">
      <c r="A283" t="s">
        <v>543</v>
      </c>
      <c r="B283" s="9">
        <v>-150</v>
      </c>
      <c r="C283">
        <v>150</v>
      </c>
      <c r="D283" s="9" t="s">
        <v>544</v>
      </c>
      <c r="F283" s="5" t="s">
        <v>4424</v>
      </c>
      <c r="G283" s="5" t="s">
        <v>4413</v>
      </c>
      <c r="H283" s="5" t="s">
        <v>4425</v>
      </c>
      <c r="I283" s="6"/>
    </row>
    <row r="284" spans="1:9" x14ac:dyDescent="0.25">
      <c r="A284" t="s">
        <v>545</v>
      </c>
      <c r="B284" s="9">
        <v>0</v>
      </c>
      <c r="C284">
        <v>150</v>
      </c>
      <c r="D284" s="9" t="s">
        <v>546</v>
      </c>
      <c r="F284" s="5" t="s">
        <v>4426</v>
      </c>
      <c r="G284" s="5" t="s">
        <v>4413</v>
      </c>
      <c r="H284" s="5" t="s">
        <v>4427</v>
      </c>
      <c r="I284" s="6">
        <v>131</v>
      </c>
    </row>
    <row r="285" spans="1:9" x14ac:dyDescent="0.25">
      <c r="A285" t="s">
        <v>547</v>
      </c>
      <c r="B285" s="9">
        <v>0</v>
      </c>
      <c r="C285">
        <v>150</v>
      </c>
      <c r="D285" s="9" t="s">
        <v>548</v>
      </c>
      <c r="F285" s="5" t="s">
        <v>4428</v>
      </c>
      <c r="G285" s="5" t="s">
        <v>3977</v>
      </c>
      <c r="H285" s="5" t="s">
        <v>4429</v>
      </c>
      <c r="I285" s="6"/>
    </row>
    <row r="286" spans="1:9" x14ac:dyDescent="0.25">
      <c r="A286" t="s">
        <v>549</v>
      </c>
      <c r="B286" s="9">
        <v>-150</v>
      </c>
      <c r="C286">
        <v>150</v>
      </c>
      <c r="D286" s="9" t="s">
        <v>550</v>
      </c>
      <c r="F286" s="5" t="s">
        <v>4430</v>
      </c>
      <c r="G286" s="5" t="s">
        <v>3884</v>
      </c>
      <c r="H286" s="5" t="s">
        <v>4431</v>
      </c>
      <c r="I286" s="6"/>
    </row>
    <row r="287" spans="1:9" x14ac:dyDescent="0.25">
      <c r="A287" t="s">
        <v>551</v>
      </c>
      <c r="B287" s="9">
        <v>0</v>
      </c>
      <c r="C287">
        <v>150</v>
      </c>
      <c r="D287" s="9" t="s">
        <v>552</v>
      </c>
      <c r="F287" s="5" t="s">
        <v>4432</v>
      </c>
      <c r="G287" s="5" t="s">
        <v>4413</v>
      </c>
      <c r="H287" s="5" t="s">
        <v>4433</v>
      </c>
      <c r="I287" s="6"/>
    </row>
    <row r="288" spans="1:9" x14ac:dyDescent="0.25">
      <c r="A288" t="s">
        <v>553</v>
      </c>
      <c r="B288" s="9">
        <v>0</v>
      </c>
      <c r="C288">
        <v>150</v>
      </c>
      <c r="D288" s="9" t="s">
        <v>554</v>
      </c>
      <c r="F288" s="5" t="s">
        <v>4436</v>
      </c>
      <c r="G288" s="5" t="s">
        <v>3878</v>
      </c>
      <c r="I288" s="6"/>
    </row>
    <row r="289" spans="1:13" x14ac:dyDescent="0.25">
      <c r="A289" t="s">
        <v>555</v>
      </c>
      <c r="B289" s="9">
        <v>0</v>
      </c>
      <c r="C289">
        <v>150</v>
      </c>
      <c r="D289" s="9" t="s">
        <v>556</v>
      </c>
      <c r="F289" s="5" t="s">
        <v>4437</v>
      </c>
      <c r="G289" s="5" t="s">
        <v>3878</v>
      </c>
      <c r="H289" s="5" t="s">
        <v>4438</v>
      </c>
      <c r="I289" s="6"/>
    </row>
    <row r="290" spans="1:13" x14ac:dyDescent="0.25">
      <c r="A290" t="s">
        <v>557</v>
      </c>
      <c r="B290" s="9">
        <v>0</v>
      </c>
      <c r="C290">
        <v>150</v>
      </c>
      <c r="D290" s="9" t="s">
        <v>6881</v>
      </c>
      <c r="F290" s="5" t="s">
        <v>4439</v>
      </c>
      <c r="G290" s="5" t="s">
        <v>4440</v>
      </c>
      <c r="H290" s="5" t="s">
        <v>4441</v>
      </c>
      <c r="I290" s="6">
        <v>129</v>
      </c>
    </row>
    <row r="291" spans="1:13" x14ac:dyDescent="0.25">
      <c r="A291" t="s">
        <v>558</v>
      </c>
      <c r="B291" s="9">
        <v>0</v>
      </c>
      <c r="C291">
        <v>150</v>
      </c>
      <c r="D291" s="9" t="s">
        <v>559</v>
      </c>
      <c r="F291" s="5" t="s">
        <v>4443</v>
      </c>
      <c r="G291" s="5" t="s">
        <v>4392</v>
      </c>
      <c r="H291" s="5" t="s">
        <v>4444</v>
      </c>
      <c r="I291" s="6"/>
    </row>
    <row r="292" spans="1:13" x14ac:dyDescent="0.25">
      <c r="A292" t="s">
        <v>560</v>
      </c>
      <c r="B292" s="9">
        <v>0</v>
      </c>
      <c r="C292">
        <v>150</v>
      </c>
      <c r="D292" s="9" t="s">
        <v>561</v>
      </c>
      <c r="F292" s="5" t="s">
        <v>4449</v>
      </c>
      <c r="G292" s="5" t="s">
        <v>3870</v>
      </c>
      <c r="H292" s="5" t="s">
        <v>4450</v>
      </c>
      <c r="I292" s="7">
        <v>109127</v>
      </c>
    </row>
    <row r="293" spans="1:13" x14ac:dyDescent="0.25">
      <c r="A293" t="s">
        <v>562</v>
      </c>
      <c r="B293" s="9">
        <v>0</v>
      </c>
      <c r="C293">
        <v>150</v>
      </c>
      <c r="D293" s="9" t="s">
        <v>563</v>
      </c>
      <c r="F293" s="5" t="s">
        <v>4451</v>
      </c>
      <c r="G293" s="5" t="s">
        <v>4440</v>
      </c>
      <c r="H293" s="5" t="s">
        <v>4452</v>
      </c>
      <c r="I293" s="7">
        <v>51129</v>
      </c>
    </row>
    <row r="294" spans="1:13" x14ac:dyDescent="0.25">
      <c r="A294" t="s">
        <v>564</v>
      </c>
      <c r="B294" s="9">
        <v>0</v>
      </c>
      <c r="C294">
        <v>150</v>
      </c>
      <c r="D294" s="9" t="s">
        <v>6882</v>
      </c>
      <c r="F294" s="5" t="s">
        <v>4453</v>
      </c>
      <c r="G294" s="5" t="s">
        <v>4330</v>
      </c>
      <c r="I294" s="6">
        <v>30</v>
      </c>
    </row>
    <row r="295" spans="1:13" x14ac:dyDescent="0.25">
      <c r="A295" t="s">
        <v>565</v>
      </c>
      <c r="B295" s="9">
        <v>0</v>
      </c>
      <c r="C295">
        <v>150</v>
      </c>
      <c r="D295" s="9" t="s">
        <v>566</v>
      </c>
      <c r="F295" s="5" t="s">
        <v>4454</v>
      </c>
      <c r="G295" s="5" t="s">
        <v>4440</v>
      </c>
      <c r="I295" s="6">
        <v>77</v>
      </c>
    </row>
    <row r="296" spans="1:13" x14ac:dyDescent="0.25">
      <c r="A296" t="s">
        <v>567</v>
      </c>
      <c r="B296" s="9">
        <v>0</v>
      </c>
      <c r="C296">
        <v>150</v>
      </c>
      <c r="D296" s="9" t="s">
        <v>568</v>
      </c>
      <c r="F296" s="5" t="s">
        <v>4455</v>
      </c>
      <c r="G296" s="5" t="s">
        <v>4440</v>
      </c>
      <c r="I296" s="6">
        <v>77</v>
      </c>
    </row>
    <row r="297" spans="1:13" x14ac:dyDescent="0.25">
      <c r="A297" t="s">
        <v>569</v>
      </c>
      <c r="B297" s="9">
        <v>0</v>
      </c>
      <c r="C297">
        <v>150</v>
      </c>
      <c r="D297" s="9" t="s">
        <v>570</v>
      </c>
      <c r="F297" s="5" t="s">
        <v>4458</v>
      </c>
      <c r="G297" s="5" t="s">
        <v>3870</v>
      </c>
      <c r="I297" s="6"/>
    </row>
    <row r="298" spans="1:13" x14ac:dyDescent="0.25">
      <c r="A298" t="s">
        <v>571</v>
      </c>
      <c r="B298" s="9">
        <v>0</v>
      </c>
      <c r="C298">
        <v>150</v>
      </c>
      <c r="D298" s="9" t="s">
        <v>572</v>
      </c>
      <c r="F298" s="5" t="s">
        <v>4458</v>
      </c>
      <c r="G298" s="5" t="s">
        <v>3870</v>
      </c>
      <c r="I298" s="6"/>
    </row>
    <row r="299" spans="1:13" x14ac:dyDescent="0.25">
      <c r="A299" t="s">
        <v>573</v>
      </c>
      <c r="B299" s="9">
        <v>0</v>
      </c>
      <c r="C299">
        <v>150</v>
      </c>
      <c r="D299" s="9" t="s">
        <v>574</v>
      </c>
      <c r="F299" s="5" t="s">
        <v>4458</v>
      </c>
      <c r="G299" s="5" t="s">
        <v>3870</v>
      </c>
      <c r="I299" s="6"/>
    </row>
    <row r="300" spans="1:13" x14ac:dyDescent="0.25">
      <c r="A300" t="s">
        <v>575</v>
      </c>
      <c r="B300" s="9">
        <v>0</v>
      </c>
      <c r="C300">
        <v>150</v>
      </c>
      <c r="D300" s="9" t="s">
        <v>576</v>
      </c>
      <c r="F300" s="5" t="s">
        <v>4459</v>
      </c>
      <c r="G300" s="5" t="s">
        <v>3870</v>
      </c>
      <c r="H300" s="5" t="s">
        <v>4460</v>
      </c>
      <c r="I300" s="6"/>
    </row>
    <row r="301" spans="1:13" x14ac:dyDescent="0.25">
      <c r="A301" t="s">
        <v>577</v>
      </c>
      <c r="B301" s="9">
        <v>0</v>
      </c>
      <c r="C301">
        <v>150</v>
      </c>
      <c r="D301" s="9" t="s">
        <v>578</v>
      </c>
      <c r="F301" s="5" t="s">
        <v>4461</v>
      </c>
      <c r="G301" s="5" t="s">
        <v>4462</v>
      </c>
      <c r="H301" s="5" t="s">
        <v>4463</v>
      </c>
      <c r="I301" s="6" t="s">
        <v>4464</v>
      </c>
    </row>
    <row r="302" spans="1:13" x14ac:dyDescent="0.25">
      <c r="A302" t="s">
        <v>579</v>
      </c>
      <c r="B302" s="9">
        <v>0</v>
      </c>
      <c r="C302">
        <v>150</v>
      </c>
      <c r="D302" s="9" t="s">
        <v>580</v>
      </c>
      <c r="F302" s="5" t="s">
        <v>4466</v>
      </c>
      <c r="G302" s="5" t="s">
        <v>3884</v>
      </c>
      <c r="H302" s="5" t="s">
        <v>4467</v>
      </c>
      <c r="I302" s="7">
        <v>2104</v>
      </c>
    </row>
    <row r="303" spans="1:13" x14ac:dyDescent="0.25">
      <c r="A303" t="s">
        <v>581</v>
      </c>
      <c r="B303" s="9">
        <v>0</v>
      </c>
      <c r="C303">
        <v>150</v>
      </c>
      <c r="D303" s="9" t="s">
        <v>582</v>
      </c>
      <c r="F303" s="5" t="s">
        <v>4468</v>
      </c>
      <c r="G303" s="5" t="s">
        <v>3884</v>
      </c>
      <c r="I303" s="6">
        <v>63</v>
      </c>
      <c r="M303" s="20"/>
    </row>
    <row r="304" spans="1:13" x14ac:dyDescent="0.25">
      <c r="A304" t="s">
        <v>583</v>
      </c>
      <c r="B304" s="9">
        <v>0</v>
      </c>
      <c r="C304">
        <v>150</v>
      </c>
      <c r="D304" s="9" t="s">
        <v>584</v>
      </c>
      <c r="F304" s="5" t="s">
        <v>4469</v>
      </c>
      <c r="G304" s="5" t="s">
        <v>3884</v>
      </c>
      <c r="I304" s="6">
        <v>63</v>
      </c>
    </row>
    <row r="305" spans="1:9" x14ac:dyDescent="0.25">
      <c r="A305" t="s">
        <v>585</v>
      </c>
      <c r="B305" s="9">
        <v>0</v>
      </c>
      <c r="C305">
        <v>150</v>
      </c>
      <c r="D305" s="9" t="s">
        <v>586</v>
      </c>
      <c r="F305" s="5" t="s">
        <v>4470</v>
      </c>
      <c r="G305" s="5" t="s">
        <v>3884</v>
      </c>
      <c r="I305" s="6">
        <v>63</v>
      </c>
    </row>
    <row r="306" spans="1:9" x14ac:dyDescent="0.25">
      <c r="A306" t="s">
        <v>587</v>
      </c>
      <c r="B306" s="9">
        <v>0</v>
      </c>
      <c r="C306">
        <v>150</v>
      </c>
      <c r="D306" s="9" t="s">
        <v>588</v>
      </c>
      <c r="F306" s="5" t="s">
        <v>4471</v>
      </c>
      <c r="G306" s="5" t="s">
        <v>3977</v>
      </c>
      <c r="H306" s="5" t="s">
        <v>4472</v>
      </c>
      <c r="I306" s="6"/>
    </row>
    <row r="307" spans="1:9" x14ac:dyDescent="0.25">
      <c r="A307" t="s">
        <v>589</v>
      </c>
      <c r="B307" s="9">
        <v>0</v>
      </c>
      <c r="C307">
        <v>150</v>
      </c>
      <c r="D307" s="9" t="s">
        <v>590</v>
      </c>
      <c r="F307" s="5" t="s">
        <v>4473</v>
      </c>
      <c r="G307" s="5" t="s">
        <v>3977</v>
      </c>
      <c r="H307" s="5" t="s">
        <v>4474</v>
      </c>
      <c r="I307" s="6"/>
    </row>
    <row r="308" spans="1:9" x14ac:dyDescent="0.25">
      <c r="A308" t="s">
        <v>591</v>
      </c>
      <c r="B308" s="9">
        <v>0</v>
      </c>
      <c r="C308">
        <v>150</v>
      </c>
      <c r="D308" s="9" t="s">
        <v>6883</v>
      </c>
      <c r="F308" s="5" t="s">
        <v>4475</v>
      </c>
      <c r="G308" s="5" t="s">
        <v>4284</v>
      </c>
      <c r="H308" s="5" t="s">
        <v>4476</v>
      </c>
      <c r="I308" s="6"/>
    </row>
    <row r="309" spans="1:9" x14ac:dyDescent="0.25">
      <c r="A309" t="s">
        <v>592</v>
      </c>
      <c r="B309" s="9">
        <v>0</v>
      </c>
      <c r="C309">
        <v>150</v>
      </c>
      <c r="D309" s="9" t="s">
        <v>593</v>
      </c>
      <c r="F309" s="5" t="s">
        <v>4477</v>
      </c>
      <c r="G309" s="5" t="s">
        <v>3870</v>
      </c>
      <c r="H309" s="5" t="s">
        <v>4478</v>
      </c>
      <c r="I309" s="6"/>
    </row>
    <row r="310" spans="1:9" x14ac:dyDescent="0.25">
      <c r="A310" t="s">
        <v>594</v>
      </c>
      <c r="B310" s="9">
        <v>0</v>
      </c>
      <c r="C310">
        <v>150</v>
      </c>
      <c r="D310" s="9" t="s">
        <v>595</v>
      </c>
      <c r="F310" s="5" t="s">
        <v>4479</v>
      </c>
      <c r="G310" s="5" t="s">
        <v>3884</v>
      </c>
      <c r="I310" s="6">
        <v>2</v>
      </c>
    </row>
    <row r="311" spans="1:9" x14ac:dyDescent="0.25">
      <c r="A311" t="s">
        <v>596</v>
      </c>
      <c r="B311" s="9">
        <v>0</v>
      </c>
      <c r="C311">
        <v>150</v>
      </c>
      <c r="D311" s="9" t="s">
        <v>597</v>
      </c>
      <c r="F311" s="5" t="s">
        <v>4480</v>
      </c>
      <c r="G311" s="5" t="s">
        <v>3949</v>
      </c>
      <c r="I311" s="6">
        <v>41</v>
      </c>
    </row>
    <row r="312" spans="1:9" x14ac:dyDescent="0.25">
      <c r="A312" t="s">
        <v>598</v>
      </c>
      <c r="B312" s="9">
        <v>0</v>
      </c>
      <c r="C312">
        <v>150</v>
      </c>
      <c r="D312" s="9" t="s">
        <v>599</v>
      </c>
      <c r="F312" s="5" t="s">
        <v>4481</v>
      </c>
      <c r="G312" s="5" t="s">
        <v>3884</v>
      </c>
      <c r="H312" s="5" t="s">
        <v>4482</v>
      </c>
      <c r="I312" s="6">
        <v>65</v>
      </c>
    </row>
    <row r="313" spans="1:9" x14ac:dyDescent="0.25">
      <c r="A313" t="s">
        <v>600</v>
      </c>
      <c r="B313" s="9">
        <v>0</v>
      </c>
      <c r="C313">
        <v>150</v>
      </c>
      <c r="D313" s="9" t="s">
        <v>601</v>
      </c>
      <c r="F313" s="5" t="s">
        <v>4483</v>
      </c>
      <c r="G313" s="5" t="s">
        <v>3884</v>
      </c>
      <c r="H313" s="5" t="s">
        <v>4482</v>
      </c>
      <c r="I313" s="6">
        <v>65</v>
      </c>
    </row>
    <row r="314" spans="1:9" x14ac:dyDescent="0.25">
      <c r="A314" t="s">
        <v>602</v>
      </c>
      <c r="B314" s="9">
        <v>0</v>
      </c>
      <c r="C314">
        <v>150</v>
      </c>
      <c r="D314" s="9" t="s">
        <v>603</v>
      </c>
      <c r="F314" s="5" t="s">
        <v>4484</v>
      </c>
      <c r="G314" s="5" t="s">
        <v>3884</v>
      </c>
      <c r="H314" s="5" t="s">
        <v>4482</v>
      </c>
      <c r="I314" s="6">
        <v>65</v>
      </c>
    </row>
    <row r="315" spans="1:9" x14ac:dyDescent="0.25">
      <c r="A315" t="s">
        <v>604</v>
      </c>
      <c r="B315" s="9">
        <v>0</v>
      </c>
      <c r="C315">
        <v>150</v>
      </c>
      <c r="D315" s="9" t="s">
        <v>605</v>
      </c>
      <c r="F315" s="5" t="s">
        <v>4485</v>
      </c>
      <c r="G315" s="5" t="s">
        <v>3884</v>
      </c>
      <c r="H315" s="5" t="s">
        <v>4482</v>
      </c>
      <c r="I315" s="6">
        <v>65</v>
      </c>
    </row>
    <row r="316" spans="1:9" x14ac:dyDescent="0.25">
      <c r="A316" t="s">
        <v>606</v>
      </c>
      <c r="B316" s="9">
        <v>0</v>
      </c>
      <c r="C316">
        <v>150</v>
      </c>
      <c r="D316" s="9" t="s">
        <v>607</v>
      </c>
      <c r="F316" s="5" t="s">
        <v>4486</v>
      </c>
      <c r="G316" s="5" t="s">
        <v>3884</v>
      </c>
      <c r="H316" s="5" t="s">
        <v>4482</v>
      </c>
      <c r="I316" s="6">
        <v>65</v>
      </c>
    </row>
    <row r="317" spans="1:9" x14ac:dyDescent="0.25">
      <c r="A317" t="s">
        <v>608</v>
      </c>
      <c r="B317" s="9">
        <v>0</v>
      </c>
      <c r="C317">
        <v>150</v>
      </c>
      <c r="D317" s="9" t="s">
        <v>609</v>
      </c>
      <c r="F317" s="5" t="s">
        <v>4487</v>
      </c>
      <c r="G317" s="5" t="s">
        <v>3878</v>
      </c>
      <c r="H317" s="5" t="s">
        <v>4488</v>
      </c>
      <c r="I317" s="6"/>
    </row>
    <row r="318" spans="1:9" x14ac:dyDescent="0.25">
      <c r="A318" t="s">
        <v>610</v>
      </c>
      <c r="B318" s="9">
        <v>0</v>
      </c>
      <c r="C318">
        <v>150</v>
      </c>
      <c r="D318" s="9" t="s">
        <v>611</v>
      </c>
      <c r="F318" s="5" t="s">
        <v>4489</v>
      </c>
      <c r="G318" s="5" t="s">
        <v>3949</v>
      </c>
      <c r="I318" s="6"/>
    </row>
    <row r="319" spans="1:9" x14ac:dyDescent="0.25">
      <c r="A319" t="s">
        <v>612</v>
      </c>
      <c r="B319" s="9">
        <v>0</v>
      </c>
      <c r="C319">
        <v>150</v>
      </c>
      <c r="D319" s="9" t="s">
        <v>613</v>
      </c>
      <c r="F319" s="5" t="s">
        <v>4491</v>
      </c>
      <c r="G319" s="5" t="s">
        <v>3894</v>
      </c>
      <c r="H319" s="5" t="s">
        <v>4492</v>
      </c>
      <c r="I319" s="6">
        <v>9</v>
      </c>
    </row>
    <row r="320" spans="1:9" x14ac:dyDescent="0.25">
      <c r="A320" t="s">
        <v>614</v>
      </c>
      <c r="B320" s="9">
        <v>0</v>
      </c>
      <c r="C320">
        <v>150</v>
      </c>
      <c r="D320" s="9" t="s">
        <v>615</v>
      </c>
      <c r="F320" s="5" t="s">
        <v>4493</v>
      </c>
      <c r="G320" s="5" t="s">
        <v>3894</v>
      </c>
      <c r="H320" s="5" t="s">
        <v>4494</v>
      </c>
      <c r="I320" s="6">
        <v>9</v>
      </c>
    </row>
    <row r="321" spans="1:9" x14ac:dyDescent="0.25">
      <c r="A321" t="s">
        <v>616</v>
      </c>
      <c r="B321" s="9">
        <v>-150</v>
      </c>
      <c r="C321">
        <v>150</v>
      </c>
      <c r="D321" s="9" t="s">
        <v>617</v>
      </c>
      <c r="F321" s="5" t="s">
        <v>4495</v>
      </c>
      <c r="G321" s="5" t="s">
        <v>3878</v>
      </c>
      <c r="H321" s="5" t="s">
        <v>4496</v>
      </c>
      <c r="I321" s="6"/>
    </row>
    <row r="322" spans="1:9" x14ac:dyDescent="0.25">
      <c r="A322" t="s">
        <v>618</v>
      </c>
      <c r="B322" s="9">
        <v>0</v>
      </c>
      <c r="C322">
        <v>150</v>
      </c>
      <c r="D322" s="9" t="s">
        <v>619</v>
      </c>
      <c r="F322" s="5" t="s">
        <v>4497</v>
      </c>
      <c r="G322" s="5" t="s">
        <v>3878</v>
      </c>
      <c r="H322" s="5" t="s">
        <v>4498</v>
      </c>
      <c r="I322" s="6"/>
    </row>
    <row r="323" spans="1:9" x14ac:dyDescent="0.25">
      <c r="A323" t="s">
        <v>620</v>
      </c>
      <c r="B323" s="9">
        <v>0</v>
      </c>
      <c r="C323">
        <v>150</v>
      </c>
      <c r="D323" s="9" t="s">
        <v>621</v>
      </c>
      <c r="F323" s="5" t="s">
        <v>4499</v>
      </c>
      <c r="G323" s="5" t="s">
        <v>3878</v>
      </c>
      <c r="H323" s="5" t="s">
        <v>4500</v>
      </c>
      <c r="I323" s="6"/>
    </row>
    <row r="324" spans="1:9" x14ac:dyDescent="0.25">
      <c r="A324" t="s">
        <v>622</v>
      </c>
      <c r="B324" s="9">
        <v>0</v>
      </c>
      <c r="C324">
        <v>150</v>
      </c>
      <c r="D324" s="9" t="s">
        <v>623</v>
      </c>
      <c r="F324" s="5" t="s">
        <v>4501</v>
      </c>
      <c r="G324" s="5" t="s">
        <v>3878</v>
      </c>
      <c r="I324" s="6"/>
    </row>
    <row r="325" spans="1:9" x14ac:dyDescent="0.25">
      <c r="A325" t="s">
        <v>624</v>
      </c>
      <c r="B325" s="9">
        <v>0</v>
      </c>
      <c r="C325">
        <v>150</v>
      </c>
      <c r="D325" s="9" t="s">
        <v>625</v>
      </c>
      <c r="F325" s="5" t="s">
        <v>4502</v>
      </c>
      <c r="G325" s="5" t="s">
        <v>3949</v>
      </c>
      <c r="H325" s="5" t="s">
        <v>4503</v>
      </c>
      <c r="I325" s="6">
        <v>71</v>
      </c>
    </row>
    <row r="326" spans="1:9" x14ac:dyDescent="0.25">
      <c r="A326" t="s">
        <v>626</v>
      </c>
      <c r="B326" s="9">
        <v>0</v>
      </c>
      <c r="C326">
        <v>150</v>
      </c>
      <c r="D326" s="9" t="s">
        <v>627</v>
      </c>
      <c r="F326" s="5" t="s">
        <v>4504</v>
      </c>
      <c r="G326" s="5" t="s">
        <v>3949</v>
      </c>
      <c r="I326" s="6"/>
    </row>
    <row r="327" spans="1:9" x14ac:dyDescent="0.25">
      <c r="A327" t="s">
        <v>628</v>
      </c>
      <c r="B327" s="9">
        <v>-150</v>
      </c>
      <c r="C327">
        <v>150</v>
      </c>
      <c r="D327" s="9" t="s">
        <v>629</v>
      </c>
      <c r="F327" s="5" t="s">
        <v>4506</v>
      </c>
      <c r="G327" s="5" t="s">
        <v>3870</v>
      </c>
      <c r="H327" s="5" t="s">
        <v>4507</v>
      </c>
      <c r="I327" s="6">
        <v>132</v>
      </c>
    </row>
    <row r="328" spans="1:9" x14ac:dyDescent="0.25">
      <c r="A328" t="s">
        <v>630</v>
      </c>
      <c r="B328" s="9">
        <v>-150</v>
      </c>
      <c r="C328">
        <v>150</v>
      </c>
      <c r="D328" s="9" t="s">
        <v>631</v>
      </c>
      <c r="F328" s="5" t="s">
        <v>4508</v>
      </c>
      <c r="G328" s="5" t="s">
        <v>3870</v>
      </c>
      <c r="H328" s="5" t="s">
        <v>4507</v>
      </c>
      <c r="I328" s="6">
        <v>132</v>
      </c>
    </row>
    <row r="329" spans="1:9" x14ac:dyDescent="0.25">
      <c r="A329" t="s">
        <v>632</v>
      </c>
      <c r="B329" s="9">
        <v>0</v>
      </c>
      <c r="C329">
        <v>150</v>
      </c>
      <c r="D329" s="9" t="s">
        <v>633</v>
      </c>
      <c r="F329" s="5" t="s">
        <v>4510</v>
      </c>
      <c r="G329" s="5" t="s">
        <v>3878</v>
      </c>
      <c r="I329" s="6"/>
    </row>
    <row r="330" spans="1:9" x14ac:dyDescent="0.25">
      <c r="A330" t="s">
        <v>634</v>
      </c>
      <c r="B330" s="9">
        <v>0</v>
      </c>
      <c r="C330">
        <v>150</v>
      </c>
      <c r="D330" s="9" t="s">
        <v>635</v>
      </c>
      <c r="F330" s="5" t="s">
        <v>4513</v>
      </c>
      <c r="G330" s="5" t="s">
        <v>3878</v>
      </c>
      <c r="I330" s="6"/>
    </row>
    <row r="331" spans="1:9" x14ac:dyDescent="0.25">
      <c r="A331" t="s">
        <v>636</v>
      </c>
      <c r="B331" s="9">
        <v>0</v>
      </c>
      <c r="C331">
        <v>150</v>
      </c>
      <c r="D331" s="9" t="s">
        <v>637</v>
      </c>
      <c r="F331" s="5" t="s">
        <v>4514</v>
      </c>
      <c r="G331" s="5" t="s">
        <v>3878</v>
      </c>
      <c r="H331" s="5" t="s">
        <v>4515</v>
      </c>
      <c r="I331" s="6"/>
    </row>
    <row r="332" spans="1:9" x14ac:dyDescent="0.25">
      <c r="A332" t="s">
        <v>638</v>
      </c>
      <c r="B332" s="9">
        <v>0</v>
      </c>
      <c r="C332">
        <v>150</v>
      </c>
      <c r="D332" s="9" t="s">
        <v>639</v>
      </c>
      <c r="F332" s="5" t="s">
        <v>4516</v>
      </c>
      <c r="G332" s="5" t="s">
        <v>4291</v>
      </c>
      <c r="H332" s="5" t="s">
        <v>4517</v>
      </c>
      <c r="I332" s="6"/>
    </row>
    <row r="333" spans="1:9" x14ac:dyDescent="0.25">
      <c r="A333" s="1" t="s">
        <v>2786</v>
      </c>
      <c r="B333" s="9">
        <v>0</v>
      </c>
      <c r="C333">
        <v>150</v>
      </c>
      <c r="D333" s="9" t="s">
        <v>641</v>
      </c>
      <c r="F333" s="5" t="s">
        <v>4520</v>
      </c>
      <c r="G333" s="5" t="s">
        <v>4094</v>
      </c>
      <c r="H333" s="5" t="s">
        <v>4521</v>
      </c>
      <c r="I333" s="6"/>
    </row>
    <row r="334" spans="1:9" x14ac:dyDescent="0.25">
      <c r="A334" t="s">
        <v>642</v>
      </c>
      <c r="B334" s="9">
        <v>0</v>
      </c>
      <c r="C334">
        <v>150</v>
      </c>
      <c r="D334" s="9" t="s">
        <v>643</v>
      </c>
      <c r="F334" s="5" t="s">
        <v>4522</v>
      </c>
      <c r="G334" s="5" t="s">
        <v>4094</v>
      </c>
      <c r="H334" s="5" t="s">
        <v>4523</v>
      </c>
      <c r="I334" s="6"/>
    </row>
    <row r="335" spans="1:9" x14ac:dyDescent="0.25">
      <c r="A335" t="s">
        <v>644</v>
      </c>
      <c r="B335" s="9">
        <v>0</v>
      </c>
      <c r="C335">
        <v>150</v>
      </c>
      <c r="D335" s="9" t="s">
        <v>645</v>
      </c>
      <c r="F335" s="5" t="s">
        <v>4524</v>
      </c>
      <c r="G335" s="5" t="s">
        <v>3870</v>
      </c>
      <c r="I335" s="6" t="s">
        <v>4525</v>
      </c>
    </row>
    <row r="336" spans="1:9" x14ac:dyDescent="0.25">
      <c r="A336" t="s">
        <v>646</v>
      </c>
      <c r="B336" s="9">
        <v>0</v>
      </c>
      <c r="C336">
        <v>150</v>
      </c>
      <c r="D336" s="9" t="s">
        <v>647</v>
      </c>
      <c r="F336" s="5" t="s">
        <v>4526</v>
      </c>
      <c r="G336" s="5" t="s">
        <v>3870</v>
      </c>
      <c r="I336" s="6" t="s">
        <v>4525</v>
      </c>
    </row>
    <row r="337" spans="1:9" x14ac:dyDescent="0.25">
      <c r="A337" t="s">
        <v>648</v>
      </c>
      <c r="B337" s="9">
        <v>0</v>
      </c>
      <c r="C337">
        <v>150</v>
      </c>
      <c r="D337" s="9" t="s">
        <v>649</v>
      </c>
      <c r="F337" s="5" t="s">
        <v>4527</v>
      </c>
      <c r="G337" s="5" t="s">
        <v>3878</v>
      </c>
      <c r="H337" s="5" t="s">
        <v>4528</v>
      </c>
      <c r="I337" s="6"/>
    </row>
    <row r="338" spans="1:9" x14ac:dyDescent="0.25">
      <c r="A338" t="s">
        <v>650</v>
      </c>
      <c r="B338" s="9">
        <v>0</v>
      </c>
      <c r="C338">
        <v>150</v>
      </c>
      <c r="D338" s="9" t="s">
        <v>651</v>
      </c>
      <c r="F338" s="5" t="s">
        <v>4529</v>
      </c>
      <c r="G338" s="5" t="s">
        <v>3878</v>
      </c>
      <c r="H338" s="5" t="s">
        <v>4530</v>
      </c>
      <c r="I338" s="6"/>
    </row>
    <row r="339" spans="1:9" x14ac:dyDescent="0.25">
      <c r="A339" t="s">
        <v>652</v>
      </c>
      <c r="B339" s="9">
        <v>0</v>
      </c>
      <c r="C339">
        <v>150</v>
      </c>
      <c r="D339" s="9" t="s">
        <v>653</v>
      </c>
      <c r="F339" s="5" t="s">
        <v>4531</v>
      </c>
      <c r="G339" s="5" t="s">
        <v>3870</v>
      </c>
      <c r="I339" s="6">
        <v>31</v>
      </c>
    </row>
    <row r="340" spans="1:9" x14ac:dyDescent="0.25">
      <c r="A340" t="s">
        <v>654</v>
      </c>
      <c r="B340" s="9">
        <v>0</v>
      </c>
      <c r="C340">
        <v>150</v>
      </c>
      <c r="D340" s="9" t="s">
        <v>655</v>
      </c>
      <c r="F340" s="5" t="s">
        <v>4532</v>
      </c>
      <c r="G340" s="5" t="s">
        <v>3878</v>
      </c>
      <c r="I340" s="6"/>
    </row>
    <row r="341" spans="1:9" x14ac:dyDescent="0.25">
      <c r="A341" t="s">
        <v>656</v>
      </c>
      <c r="B341" s="9">
        <v>0</v>
      </c>
      <c r="C341">
        <v>150</v>
      </c>
      <c r="D341" s="9" t="s">
        <v>657</v>
      </c>
      <c r="F341" s="5" t="s">
        <v>4533</v>
      </c>
      <c r="G341" s="5" t="s">
        <v>3870</v>
      </c>
      <c r="H341" s="5" t="s">
        <v>4534</v>
      </c>
      <c r="I341" s="6" t="s">
        <v>4535</v>
      </c>
    </row>
    <row r="342" spans="1:9" x14ac:dyDescent="0.25">
      <c r="A342" t="s">
        <v>658</v>
      </c>
      <c r="B342" s="9">
        <v>-150</v>
      </c>
      <c r="C342">
        <v>150</v>
      </c>
      <c r="D342" s="9" t="s">
        <v>659</v>
      </c>
      <c r="F342" s="5" t="s">
        <v>4537</v>
      </c>
      <c r="G342" s="5" t="s">
        <v>3870</v>
      </c>
      <c r="H342" s="5" t="s">
        <v>4538</v>
      </c>
      <c r="I342" s="6">
        <v>3</v>
      </c>
    </row>
    <row r="343" spans="1:9" x14ac:dyDescent="0.25">
      <c r="A343" t="s">
        <v>660</v>
      </c>
      <c r="B343" s="9">
        <v>0</v>
      </c>
      <c r="C343">
        <v>150</v>
      </c>
      <c r="D343" s="9" t="s">
        <v>661</v>
      </c>
      <c r="F343" s="5" t="s">
        <v>4539</v>
      </c>
      <c r="G343" s="5" t="s">
        <v>3870</v>
      </c>
      <c r="I343" s="6">
        <v>77</v>
      </c>
    </row>
    <row r="344" spans="1:9" x14ac:dyDescent="0.25">
      <c r="A344" t="s">
        <v>662</v>
      </c>
      <c r="B344" s="9">
        <v>0</v>
      </c>
      <c r="C344">
        <v>150</v>
      </c>
      <c r="D344" s="9" t="s">
        <v>663</v>
      </c>
      <c r="F344" s="5" t="s">
        <v>4540</v>
      </c>
      <c r="G344" s="5" t="s">
        <v>3870</v>
      </c>
      <c r="I344" s="6">
        <v>77</v>
      </c>
    </row>
    <row r="345" spans="1:9" x14ac:dyDescent="0.25">
      <c r="A345" t="s">
        <v>664</v>
      </c>
      <c r="B345" s="9">
        <v>-150</v>
      </c>
      <c r="C345">
        <v>150</v>
      </c>
      <c r="D345" s="9" t="s">
        <v>665</v>
      </c>
      <c r="F345" s="5" t="s">
        <v>4541</v>
      </c>
      <c r="G345" s="5" t="s">
        <v>4067</v>
      </c>
      <c r="H345" s="5" t="s">
        <v>4542</v>
      </c>
      <c r="I345" s="6"/>
    </row>
    <row r="346" spans="1:9" x14ac:dyDescent="0.25">
      <c r="A346" t="s">
        <v>666</v>
      </c>
      <c r="B346" s="9">
        <v>0</v>
      </c>
      <c r="C346">
        <v>150</v>
      </c>
      <c r="D346" s="9" t="s">
        <v>667</v>
      </c>
      <c r="F346" s="5" t="s">
        <v>4543</v>
      </c>
      <c r="G346" s="5" t="s">
        <v>4067</v>
      </c>
      <c r="H346" s="5" t="s">
        <v>4544</v>
      </c>
      <c r="I346" s="6"/>
    </row>
    <row r="347" spans="1:9" x14ac:dyDescent="0.25">
      <c r="A347" t="s">
        <v>668</v>
      </c>
      <c r="B347" s="9">
        <v>0</v>
      </c>
      <c r="C347">
        <v>150</v>
      </c>
      <c r="D347" s="9" t="s">
        <v>669</v>
      </c>
      <c r="F347" s="5" t="s">
        <v>4545</v>
      </c>
      <c r="G347" s="5" t="s">
        <v>3991</v>
      </c>
      <c r="H347" s="5" t="s">
        <v>4546</v>
      </c>
      <c r="I347" s="6"/>
    </row>
    <row r="348" spans="1:9" x14ac:dyDescent="0.25">
      <c r="A348" t="s">
        <v>670</v>
      </c>
      <c r="B348" s="9">
        <v>0</v>
      </c>
      <c r="C348">
        <v>150</v>
      </c>
      <c r="D348" s="9" t="s">
        <v>671</v>
      </c>
      <c r="F348" s="5" t="s">
        <v>4547</v>
      </c>
      <c r="G348" s="5" t="s">
        <v>4094</v>
      </c>
      <c r="H348" s="5" t="s">
        <v>4548</v>
      </c>
      <c r="I348" s="6"/>
    </row>
    <row r="349" spans="1:9" x14ac:dyDescent="0.25">
      <c r="A349" t="s">
        <v>672</v>
      </c>
      <c r="B349" s="9">
        <v>0</v>
      </c>
      <c r="C349">
        <v>150</v>
      </c>
      <c r="D349" s="9" t="s">
        <v>673</v>
      </c>
      <c r="F349" s="5" t="s">
        <v>4549</v>
      </c>
      <c r="G349" s="5" t="s">
        <v>3949</v>
      </c>
      <c r="H349" s="5" t="s">
        <v>4550</v>
      </c>
      <c r="I349" s="6"/>
    </row>
    <row r="350" spans="1:9" x14ac:dyDescent="0.25">
      <c r="A350" t="s">
        <v>674</v>
      </c>
      <c r="B350" s="9">
        <v>0</v>
      </c>
      <c r="C350">
        <v>150</v>
      </c>
      <c r="D350" s="9" t="s">
        <v>675</v>
      </c>
      <c r="F350" s="5" t="s">
        <v>4554</v>
      </c>
      <c r="G350" s="5" t="s">
        <v>3878</v>
      </c>
      <c r="I350" s="6"/>
    </row>
    <row r="351" spans="1:9" x14ac:dyDescent="0.25">
      <c r="A351" t="s">
        <v>676</v>
      </c>
      <c r="B351" s="9">
        <v>-150</v>
      </c>
      <c r="C351">
        <v>150</v>
      </c>
      <c r="D351" s="9" t="s">
        <v>6884</v>
      </c>
      <c r="F351" s="5" t="s">
        <v>4556</v>
      </c>
      <c r="G351" s="5" t="s">
        <v>3939</v>
      </c>
      <c r="H351" s="5" t="s">
        <v>4557</v>
      </c>
      <c r="I351" s="6"/>
    </row>
    <row r="352" spans="1:9" x14ac:dyDescent="0.25">
      <c r="A352" t="s">
        <v>677</v>
      </c>
      <c r="B352" s="9">
        <v>0</v>
      </c>
      <c r="C352">
        <v>150</v>
      </c>
      <c r="D352" s="9" t="s">
        <v>678</v>
      </c>
      <c r="F352" s="5" t="s">
        <v>4558</v>
      </c>
      <c r="G352" s="5" t="s">
        <v>3878</v>
      </c>
      <c r="I352" s="6"/>
    </row>
    <row r="353" spans="1:9" x14ac:dyDescent="0.25">
      <c r="A353" t="s">
        <v>679</v>
      </c>
      <c r="B353" s="9">
        <v>0</v>
      </c>
      <c r="C353">
        <v>150</v>
      </c>
      <c r="D353" s="9" t="s">
        <v>680</v>
      </c>
      <c r="F353" s="5" t="s">
        <v>4559</v>
      </c>
      <c r="G353" s="5" t="s">
        <v>3878</v>
      </c>
      <c r="H353" s="5" t="s">
        <v>4560</v>
      </c>
      <c r="I353" s="6"/>
    </row>
    <row r="354" spans="1:9" x14ac:dyDescent="0.25">
      <c r="A354" t="s">
        <v>681</v>
      </c>
      <c r="B354" s="9">
        <v>0</v>
      </c>
      <c r="C354">
        <v>150</v>
      </c>
      <c r="D354" s="9" t="s">
        <v>682</v>
      </c>
      <c r="F354" s="5" t="s">
        <v>4561</v>
      </c>
      <c r="G354" s="5" t="s">
        <v>4562</v>
      </c>
      <c r="H354" s="5" t="s">
        <v>4563</v>
      </c>
      <c r="I354" s="6"/>
    </row>
    <row r="355" spans="1:9" x14ac:dyDescent="0.25">
      <c r="A355" t="s">
        <v>683</v>
      </c>
      <c r="B355" s="9">
        <v>-150</v>
      </c>
      <c r="C355">
        <v>150</v>
      </c>
      <c r="D355" s="9" t="s">
        <v>684</v>
      </c>
      <c r="F355" s="5" t="s">
        <v>4564</v>
      </c>
      <c r="G355" s="5" t="s">
        <v>3870</v>
      </c>
      <c r="I355" s="6">
        <v>5</v>
      </c>
    </row>
    <row r="356" spans="1:9" x14ac:dyDescent="0.25">
      <c r="A356" t="s">
        <v>685</v>
      </c>
      <c r="B356" s="9">
        <v>0</v>
      </c>
      <c r="C356">
        <v>150</v>
      </c>
      <c r="D356" s="9" t="s">
        <v>686</v>
      </c>
      <c r="F356" s="5" t="s">
        <v>4565</v>
      </c>
      <c r="G356" s="5" t="s">
        <v>3870</v>
      </c>
      <c r="I356" s="6">
        <v>5</v>
      </c>
    </row>
    <row r="357" spans="1:9" x14ac:dyDescent="0.25">
      <c r="A357" t="s">
        <v>687</v>
      </c>
      <c r="B357" s="9">
        <v>0</v>
      </c>
      <c r="C357">
        <v>150</v>
      </c>
      <c r="D357" s="9" t="s">
        <v>688</v>
      </c>
      <c r="F357" s="5" t="s">
        <v>4567</v>
      </c>
      <c r="G357" s="5" t="s">
        <v>4094</v>
      </c>
      <c r="I357" s="6"/>
    </row>
    <row r="358" spans="1:9" x14ac:dyDescent="0.25">
      <c r="A358" t="s">
        <v>689</v>
      </c>
      <c r="B358" s="9">
        <v>0</v>
      </c>
      <c r="C358">
        <v>150</v>
      </c>
      <c r="D358" s="9" t="s">
        <v>690</v>
      </c>
      <c r="F358" s="5" t="s">
        <v>4568</v>
      </c>
      <c r="G358" s="5" t="s">
        <v>4094</v>
      </c>
      <c r="H358" s="5" t="s">
        <v>4569</v>
      </c>
      <c r="I358" s="6"/>
    </row>
    <row r="359" spans="1:9" x14ac:dyDescent="0.25">
      <c r="A359" t="s">
        <v>691</v>
      </c>
      <c r="B359" s="9">
        <v>0</v>
      </c>
      <c r="C359">
        <v>150</v>
      </c>
      <c r="D359" s="9" t="s">
        <v>6885</v>
      </c>
      <c r="F359" s="5" t="s">
        <v>4570</v>
      </c>
      <c r="G359" s="5" t="s">
        <v>4043</v>
      </c>
      <c r="H359" s="5" t="s">
        <v>4571</v>
      </c>
      <c r="I359" s="6"/>
    </row>
    <row r="360" spans="1:9" x14ac:dyDescent="0.25">
      <c r="A360" t="s">
        <v>692</v>
      </c>
      <c r="B360" s="9">
        <v>-150</v>
      </c>
      <c r="C360">
        <v>150</v>
      </c>
      <c r="D360" s="9" t="s">
        <v>693</v>
      </c>
      <c r="F360" s="5" t="s">
        <v>4574</v>
      </c>
      <c r="G360" s="5" t="s">
        <v>3920</v>
      </c>
      <c r="H360" s="5" t="s">
        <v>4575</v>
      </c>
      <c r="I360" s="6"/>
    </row>
    <row r="361" spans="1:9" x14ac:dyDescent="0.25">
      <c r="A361" t="s">
        <v>694</v>
      </c>
      <c r="B361" s="9">
        <v>-150</v>
      </c>
      <c r="C361">
        <v>150</v>
      </c>
      <c r="D361" s="9" t="s">
        <v>695</v>
      </c>
      <c r="F361" s="5" t="s">
        <v>4576</v>
      </c>
      <c r="G361" s="5" t="s">
        <v>3977</v>
      </c>
      <c r="H361" s="5" t="s">
        <v>4577</v>
      </c>
      <c r="I361" s="6"/>
    </row>
    <row r="362" spans="1:9" x14ac:dyDescent="0.25">
      <c r="A362" t="s">
        <v>696</v>
      </c>
      <c r="B362" s="9">
        <v>0</v>
      </c>
      <c r="C362">
        <v>150</v>
      </c>
      <c r="D362" s="9" t="s">
        <v>697</v>
      </c>
      <c r="F362" s="5" t="s">
        <v>4578</v>
      </c>
      <c r="G362" s="5" t="s">
        <v>3977</v>
      </c>
      <c r="H362" s="5" t="s">
        <v>4579</v>
      </c>
      <c r="I362" s="6"/>
    </row>
    <row r="363" spans="1:9" x14ac:dyDescent="0.25">
      <c r="A363" t="s">
        <v>698</v>
      </c>
      <c r="B363" s="9">
        <v>0</v>
      </c>
      <c r="C363">
        <v>150</v>
      </c>
      <c r="D363" s="9" t="s">
        <v>699</v>
      </c>
      <c r="F363" s="5" t="s">
        <v>4581</v>
      </c>
      <c r="G363" s="5" t="s">
        <v>3949</v>
      </c>
      <c r="H363" s="5" t="s">
        <v>4582</v>
      </c>
      <c r="I363" s="6"/>
    </row>
    <row r="364" spans="1:9" x14ac:dyDescent="0.25">
      <c r="A364" t="s">
        <v>700</v>
      </c>
      <c r="B364" s="9">
        <v>0</v>
      </c>
      <c r="C364">
        <v>150</v>
      </c>
      <c r="D364" s="9" t="s">
        <v>701</v>
      </c>
      <c r="F364" s="5" t="s">
        <v>4586</v>
      </c>
      <c r="G364" s="5" t="s">
        <v>3878</v>
      </c>
      <c r="H364" s="5" t="s">
        <v>4587</v>
      </c>
      <c r="I364" s="6"/>
    </row>
    <row r="365" spans="1:9" x14ac:dyDescent="0.25">
      <c r="A365" t="s">
        <v>702</v>
      </c>
      <c r="B365" s="9">
        <v>0</v>
      </c>
      <c r="C365">
        <v>150</v>
      </c>
      <c r="D365" s="9" t="s">
        <v>703</v>
      </c>
      <c r="F365" s="5" t="s">
        <v>4588</v>
      </c>
      <c r="G365" s="5" t="s">
        <v>3878</v>
      </c>
      <c r="I365" s="6" t="s">
        <v>4257</v>
      </c>
    </row>
    <row r="366" spans="1:9" x14ac:dyDescent="0.25">
      <c r="A366" t="s">
        <v>704</v>
      </c>
      <c r="B366" s="9">
        <v>0</v>
      </c>
      <c r="C366">
        <v>150</v>
      </c>
      <c r="D366" s="9" t="s">
        <v>705</v>
      </c>
      <c r="F366" s="5" t="s">
        <v>4589</v>
      </c>
      <c r="G366" s="5" t="s">
        <v>3920</v>
      </c>
      <c r="H366" s="5" t="s">
        <v>4590</v>
      </c>
      <c r="I366" s="6"/>
    </row>
    <row r="367" spans="1:9" x14ac:dyDescent="0.25">
      <c r="A367" t="s">
        <v>706</v>
      </c>
      <c r="B367" s="9">
        <v>-150</v>
      </c>
      <c r="C367">
        <v>150</v>
      </c>
      <c r="D367" s="9" t="s">
        <v>707</v>
      </c>
      <c r="F367" s="5" t="s">
        <v>4591</v>
      </c>
      <c r="G367" s="5" t="s">
        <v>3920</v>
      </c>
      <c r="H367" s="5" t="s">
        <v>4592</v>
      </c>
      <c r="I367" s="6"/>
    </row>
    <row r="368" spans="1:9" x14ac:dyDescent="0.25">
      <c r="A368" t="s">
        <v>708</v>
      </c>
      <c r="B368" s="9">
        <v>-150</v>
      </c>
      <c r="C368">
        <v>150</v>
      </c>
      <c r="D368" s="9" t="s">
        <v>709</v>
      </c>
      <c r="F368" s="5" t="s">
        <v>4593</v>
      </c>
      <c r="G368" s="5" t="s">
        <v>3920</v>
      </c>
      <c r="H368" s="5" t="s">
        <v>4592</v>
      </c>
      <c r="I368" s="6"/>
    </row>
    <row r="369" spans="1:9" x14ac:dyDescent="0.25">
      <c r="A369" t="s">
        <v>710</v>
      </c>
      <c r="B369" s="9">
        <v>0</v>
      </c>
      <c r="C369">
        <v>150</v>
      </c>
      <c r="D369" s="9" t="s">
        <v>711</v>
      </c>
      <c r="F369" s="5" t="s">
        <v>4594</v>
      </c>
      <c r="G369" s="5" t="s">
        <v>3920</v>
      </c>
      <c r="H369" s="5" t="s">
        <v>4595</v>
      </c>
      <c r="I369" s="6"/>
    </row>
    <row r="370" spans="1:9" x14ac:dyDescent="0.25">
      <c r="A370" t="s">
        <v>712</v>
      </c>
      <c r="B370" s="9">
        <v>0</v>
      </c>
      <c r="C370">
        <v>150</v>
      </c>
      <c r="D370" s="9" t="s">
        <v>713</v>
      </c>
      <c r="F370" s="5" t="s">
        <v>4597</v>
      </c>
      <c r="G370" s="5" t="s">
        <v>3920</v>
      </c>
      <c r="H370" s="5" t="s">
        <v>4598</v>
      </c>
      <c r="I370" s="6"/>
    </row>
    <row r="371" spans="1:9" x14ac:dyDescent="0.25">
      <c r="A371" t="s">
        <v>714</v>
      </c>
      <c r="B371" s="9">
        <v>0</v>
      </c>
      <c r="C371">
        <v>150</v>
      </c>
      <c r="D371" s="9" t="s">
        <v>715</v>
      </c>
      <c r="F371" s="5" t="s">
        <v>4599</v>
      </c>
      <c r="G371" s="5" t="s">
        <v>3920</v>
      </c>
      <c r="H371" s="5" t="s">
        <v>4598</v>
      </c>
      <c r="I371" s="6"/>
    </row>
    <row r="372" spans="1:9" x14ac:dyDescent="0.25">
      <c r="A372" t="s">
        <v>716</v>
      </c>
      <c r="B372" s="9">
        <v>0</v>
      </c>
      <c r="C372">
        <v>150</v>
      </c>
      <c r="D372" s="9" t="s">
        <v>6886</v>
      </c>
      <c r="F372" s="5" t="s">
        <v>4600</v>
      </c>
      <c r="G372" s="5" t="s">
        <v>3901</v>
      </c>
      <c r="I372" s="6"/>
    </row>
    <row r="373" spans="1:9" x14ac:dyDescent="0.25">
      <c r="A373" t="s">
        <v>717</v>
      </c>
      <c r="B373" s="9">
        <v>0</v>
      </c>
      <c r="C373">
        <v>150</v>
      </c>
      <c r="D373" s="9" t="s">
        <v>6887</v>
      </c>
      <c r="F373" s="5" t="s">
        <v>4600</v>
      </c>
      <c r="G373" s="5" t="s">
        <v>3901</v>
      </c>
      <c r="I373" s="6"/>
    </row>
    <row r="374" spans="1:9" x14ac:dyDescent="0.25">
      <c r="A374" t="s">
        <v>718</v>
      </c>
      <c r="B374" s="9">
        <v>0</v>
      </c>
      <c r="C374">
        <v>150</v>
      </c>
      <c r="D374" s="9" t="s">
        <v>6888</v>
      </c>
      <c r="F374" s="5" t="s">
        <v>4601</v>
      </c>
      <c r="G374" s="5" t="s">
        <v>3901</v>
      </c>
      <c r="I374" s="6"/>
    </row>
    <row r="375" spans="1:9" x14ac:dyDescent="0.25">
      <c r="A375" t="s">
        <v>719</v>
      </c>
      <c r="B375" s="9">
        <v>0</v>
      </c>
      <c r="C375">
        <v>150</v>
      </c>
      <c r="D375" s="9" t="s">
        <v>720</v>
      </c>
      <c r="F375" s="5" t="s">
        <v>4602</v>
      </c>
      <c r="G375" s="5" t="s">
        <v>3884</v>
      </c>
      <c r="H375" s="5" t="s">
        <v>4603</v>
      </c>
      <c r="I375" s="6"/>
    </row>
    <row r="376" spans="1:9" x14ac:dyDescent="0.25">
      <c r="A376" t="s">
        <v>721</v>
      </c>
      <c r="B376" s="9">
        <v>0</v>
      </c>
      <c r="C376">
        <v>150</v>
      </c>
      <c r="D376" s="9" t="s">
        <v>722</v>
      </c>
      <c r="F376" s="5" t="s">
        <v>4604</v>
      </c>
      <c r="G376" s="5" t="s">
        <v>3884</v>
      </c>
      <c r="H376" s="5" t="s">
        <v>4605</v>
      </c>
      <c r="I376" s="6"/>
    </row>
    <row r="377" spans="1:9" x14ac:dyDescent="0.25">
      <c r="A377" t="s">
        <v>723</v>
      </c>
      <c r="B377" s="9">
        <v>0</v>
      </c>
      <c r="C377">
        <v>150</v>
      </c>
      <c r="D377" s="9" t="s">
        <v>724</v>
      </c>
      <c r="F377" s="5" t="s">
        <v>4606</v>
      </c>
      <c r="G377" s="5" t="s">
        <v>3884</v>
      </c>
      <c r="H377" s="5" t="s">
        <v>4607</v>
      </c>
      <c r="I377" s="6"/>
    </row>
    <row r="378" spans="1:9" x14ac:dyDescent="0.25">
      <c r="A378" t="s">
        <v>725</v>
      </c>
      <c r="B378" s="9">
        <v>0</v>
      </c>
      <c r="C378">
        <v>150</v>
      </c>
      <c r="D378" s="9" t="s">
        <v>6889</v>
      </c>
      <c r="F378" s="5" t="s">
        <v>4608</v>
      </c>
      <c r="G378" s="5" t="s">
        <v>3870</v>
      </c>
      <c r="I378" s="6">
        <v>120</v>
      </c>
    </row>
    <row r="379" spans="1:9" x14ac:dyDescent="0.25">
      <c r="A379" t="s">
        <v>726</v>
      </c>
      <c r="B379" s="9">
        <v>0</v>
      </c>
      <c r="C379">
        <v>150</v>
      </c>
      <c r="D379" s="9" t="s">
        <v>727</v>
      </c>
      <c r="F379" s="5" t="s">
        <v>4610</v>
      </c>
      <c r="G379" s="5" t="s">
        <v>3870</v>
      </c>
      <c r="H379" s="5" t="s">
        <v>4611</v>
      </c>
      <c r="I379" s="6"/>
    </row>
    <row r="380" spans="1:9" x14ac:dyDescent="0.25">
      <c r="A380" t="s">
        <v>728</v>
      </c>
      <c r="B380" s="10">
        <v>-150</v>
      </c>
      <c r="C380">
        <v>150</v>
      </c>
      <c r="D380" s="9" t="s">
        <v>729</v>
      </c>
      <c r="F380" s="5" t="s">
        <v>4612</v>
      </c>
      <c r="G380" s="5" t="s">
        <v>3870</v>
      </c>
      <c r="H380" s="5" t="s">
        <v>4613</v>
      </c>
      <c r="I380" s="6"/>
    </row>
    <row r="381" spans="1:9" x14ac:dyDescent="0.25">
      <c r="A381" t="s">
        <v>730</v>
      </c>
      <c r="B381" s="9">
        <v>-150</v>
      </c>
      <c r="C381">
        <v>150</v>
      </c>
      <c r="D381" s="9" t="s">
        <v>731</v>
      </c>
      <c r="F381" s="5" t="s">
        <v>4615</v>
      </c>
      <c r="G381" s="5" t="s">
        <v>3870</v>
      </c>
      <c r="H381" s="5" t="s">
        <v>4616</v>
      </c>
      <c r="I381" s="6"/>
    </row>
    <row r="382" spans="1:9" x14ac:dyDescent="0.25">
      <c r="A382" t="s">
        <v>732</v>
      </c>
      <c r="B382" s="9">
        <v>-150</v>
      </c>
      <c r="C382">
        <v>150</v>
      </c>
      <c r="D382" s="9" t="s">
        <v>733</v>
      </c>
      <c r="F382" s="5" t="s">
        <v>4618</v>
      </c>
      <c r="G382" s="5" t="s">
        <v>3922</v>
      </c>
      <c r="H382" s="5" t="s">
        <v>4619</v>
      </c>
      <c r="I382" s="6"/>
    </row>
    <row r="383" spans="1:9" x14ac:dyDescent="0.25">
      <c r="A383" t="s">
        <v>734</v>
      </c>
      <c r="B383" s="9">
        <v>0</v>
      </c>
      <c r="C383">
        <v>150</v>
      </c>
      <c r="D383" s="9" t="s">
        <v>735</v>
      </c>
      <c r="F383" s="5" t="s">
        <v>4618</v>
      </c>
      <c r="G383" s="5" t="s">
        <v>4097</v>
      </c>
      <c r="H383" s="5" t="s">
        <v>4620</v>
      </c>
      <c r="I383" s="6"/>
    </row>
    <row r="384" spans="1:9" x14ac:dyDescent="0.25">
      <c r="A384" t="s">
        <v>736</v>
      </c>
      <c r="B384" s="9">
        <v>0</v>
      </c>
      <c r="C384">
        <v>150</v>
      </c>
      <c r="D384" s="9" t="s">
        <v>737</v>
      </c>
      <c r="F384" s="5" t="s">
        <v>4623</v>
      </c>
      <c r="G384" s="5" t="s">
        <v>3920</v>
      </c>
      <c r="H384" s="5" t="s">
        <v>4575</v>
      </c>
      <c r="I384" s="6"/>
    </row>
    <row r="385" spans="1:13" x14ac:dyDescent="0.25">
      <c r="A385" t="s">
        <v>738</v>
      </c>
      <c r="B385" s="9">
        <v>0</v>
      </c>
      <c r="C385">
        <v>150</v>
      </c>
      <c r="D385" s="9" t="s">
        <v>739</v>
      </c>
      <c r="F385" s="5" t="s">
        <v>4624</v>
      </c>
      <c r="G385" s="5" t="s">
        <v>4462</v>
      </c>
      <c r="H385" s="5" t="s">
        <v>4625</v>
      </c>
      <c r="I385" s="6" t="s">
        <v>4464</v>
      </c>
    </row>
    <row r="386" spans="1:13" x14ac:dyDescent="0.25">
      <c r="A386" t="s">
        <v>740</v>
      </c>
      <c r="B386" s="9">
        <v>0</v>
      </c>
      <c r="C386">
        <v>150</v>
      </c>
      <c r="D386" s="9" t="s">
        <v>741</v>
      </c>
      <c r="F386" s="5" t="s">
        <v>4626</v>
      </c>
      <c r="G386" s="5" t="s">
        <v>4097</v>
      </c>
      <c r="H386" s="5" t="s">
        <v>4627</v>
      </c>
      <c r="I386" s="6">
        <v>140</v>
      </c>
    </row>
    <row r="387" spans="1:13" x14ac:dyDescent="0.25">
      <c r="A387" t="s">
        <v>742</v>
      </c>
      <c r="B387" s="9">
        <v>0</v>
      </c>
      <c r="C387">
        <v>150</v>
      </c>
      <c r="D387" s="9" t="s">
        <v>743</v>
      </c>
      <c r="F387" s="5" t="s">
        <v>4628</v>
      </c>
      <c r="G387" s="5" t="s">
        <v>4097</v>
      </c>
      <c r="H387" s="5" t="s">
        <v>4627</v>
      </c>
      <c r="I387" s="6">
        <v>140</v>
      </c>
    </row>
    <row r="388" spans="1:13" x14ac:dyDescent="0.25">
      <c r="A388" t="s">
        <v>744</v>
      </c>
      <c r="B388" s="9">
        <v>0</v>
      </c>
      <c r="C388">
        <v>150</v>
      </c>
      <c r="D388" s="9" t="s">
        <v>745</v>
      </c>
      <c r="F388" s="5" t="s">
        <v>4630</v>
      </c>
      <c r="G388" s="5" t="s">
        <v>3884</v>
      </c>
      <c r="H388" s="5" t="s">
        <v>4631</v>
      </c>
      <c r="I388" s="6"/>
    </row>
    <row r="389" spans="1:13" x14ac:dyDescent="0.25">
      <c r="A389" t="s">
        <v>746</v>
      </c>
      <c r="B389" s="9">
        <v>0</v>
      </c>
      <c r="C389">
        <v>150</v>
      </c>
      <c r="D389" s="9" t="s">
        <v>747</v>
      </c>
      <c r="F389" s="5" t="s">
        <v>4632</v>
      </c>
      <c r="G389" s="5" t="s">
        <v>3884</v>
      </c>
      <c r="I389" s="6">
        <v>57</v>
      </c>
    </row>
    <row r="390" spans="1:13" x14ac:dyDescent="0.25">
      <c r="A390" t="s">
        <v>748</v>
      </c>
      <c r="B390" s="9">
        <v>0</v>
      </c>
      <c r="C390">
        <v>150</v>
      </c>
      <c r="D390" s="9" t="s">
        <v>749</v>
      </c>
      <c r="F390" s="5" t="s">
        <v>4633</v>
      </c>
      <c r="G390" s="5" t="s">
        <v>3884</v>
      </c>
      <c r="I390" s="6">
        <v>57</v>
      </c>
    </row>
    <row r="391" spans="1:13" x14ac:dyDescent="0.25">
      <c r="A391" t="s">
        <v>750</v>
      </c>
      <c r="B391" s="9">
        <v>0</v>
      </c>
      <c r="C391">
        <v>150</v>
      </c>
      <c r="D391" s="9" t="s">
        <v>751</v>
      </c>
      <c r="F391" s="5" t="s">
        <v>4634</v>
      </c>
      <c r="G391" s="5" t="s">
        <v>3884</v>
      </c>
      <c r="I391" s="6">
        <v>57</v>
      </c>
    </row>
    <row r="392" spans="1:13" x14ac:dyDescent="0.25">
      <c r="A392" t="s">
        <v>752</v>
      </c>
      <c r="B392" s="9">
        <v>0</v>
      </c>
      <c r="C392">
        <v>150</v>
      </c>
      <c r="D392" s="9" t="s">
        <v>753</v>
      </c>
      <c r="F392" s="5" t="s">
        <v>4635</v>
      </c>
      <c r="G392" s="5" t="s">
        <v>3884</v>
      </c>
      <c r="I392" s="6">
        <v>57</v>
      </c>
    </row>
    <row r="393" spans="1:13" x14ac:dyDescent="0.25">
      <c r="A393" t="s">
        <v>754</v>
      </c>
      <c r="B393" s="9">
        <v>0</v>
      </c>
      <c r="C393">
        <v>150</v>
      </c>
      <c r="D393" s="9" t="s">
        <v>755</v>
      </c>
      <c r="F393" s="5" t="s">
        <v>4635</v>
      </c>
      <c r="G393" s="5" t="s">
        <v>3884</v>
      </c>
      <c r="I393" s="6">
        <v>57</v>
      </c>
    </row>
    <row r="394" spans="1:13" x14ac:dyDescent="0.25">
      <c r="A394" t="s">
        <v>756</v>
      </c>
      <c r="B394" s="9">
        <v>0</v>
      </c>
      <c r="C394">
        <v>150</v>
      </c>
      <c r="D394" s="9" t="s">
        <v>757</v>
      </c>
      <c r="F394" s="5" t="s">
        <v>4635</v>
      </c>
      <c r="G394" s="5" t="s">
        <v>3884</v>
      </c>
      <c r="I394" s="6">
        <v>57</v>
      </c>
    </row>
    <row r="395" spans="1:13" x14ac:dyDescent="0.25">
      <c r="A395" t="s">
        <v>758</v>
      </c>
      <c r="B395" s="9">
        <v>0</v>
      </c>
      <c r="C395">
        <v>150</v>
      </c>
      <c r="D395" s="9" t="s">
        <v>759</v>
      </c>
      <c r="F395" s="5" t="s">
        <v>4636</v>
      </c>
      <c r="G395" s="5" t="s">
        <v>3884</v>
      </c>
      <c r="I395" s="6"/>
      <c r="M395" s="20"/>
    </row>
    <row r="396" spans="1:13" x14ac:dyDescent="0.25">
      <c r="A396" t="s">
        <v>760</v>
      </c>
      <c r="B396" s="9">
        <v>0</v>
      </c>
      <c r="C396">
        <v>150</v>
      </c>
      <c r="D396" s="9" t="s">
        <v>6890</v>
      </c>
      <c r="F396" s="5" t="s">
        <v>4638</v>
      </c>
      <c r="G396" s="5" t="s">
        <v>4067</v>
      </c>
      <c r="H396" s="5" t="s">
        <v>4639</v>
      </c>
      <c r="I396" s="6"/>
    </row>
    <row r="397" spans="1:13" x14ac:dyDescent="0.25">
      <c r="A397" t="s">
        <v>761</v>
      </c>
      <c r="B397" s="9">
        <v>-150</v>
      </c>
      <c r="C397">
        <v>150</v>
      </c>
      <c r="D397" s="9" t="s">
        <v>762</v>
      </c>
      <c r="F397" s="5" t="s">
        <v>4641</v>
      </c>
      <c r="G397" s="5" t="s">
        <v>3870</v>
      </c>
      <c r="H397" s="5" t="s">
        <v>4642</v>
      </c>
      <c r="I397" s="6"/>
    </row>
    <row r="398" spans="1:13" x14ac:dyDescent="0.25">
      <c r="A398" t="s">
        <v>763</v>
      </c>
      <c r="B398" s="9">
        <v>0</v>
      </c>
      <c r="C398">
        <v>150</v>
      </c>
      <c r="D398" s="9" t="s">
        <v>6891</v>
      </c>
      <c r="F398" s="5" t="s">
        <v>4643</v>
      </c>
      <c r="G398" s="5" t="s">
        <v>3901</v>
      </c>
      <c r="I398" s="6"/>
    </row>
    <row r="399" spans="1:13" x14ac:dyDescent="0.25">
      <c r="A399" t="s">
        <v>764</v>
      </c>
      <c r="B399" s="9">
        <v>0</v>
      </c>
      <c r="C399">
        <v>150</v>
      </c>
      <c r="D399" s="9" t="s">
        <v>765</v>
      </c>
      <c r="F399" s="5" t="s">
        <v>4644</v>
      </c>
      <c r="G399" s="5" t="s">
        <v>4562</v>
      </c>
      <c r="H399" s="5" t="s">
        <v>4645</v>
      </c>
      <c r="I399" s="6"/>
    </row>
    <row r="400" spans="1:13" x14ac:dyDescent="0.25">
      <c r="A400" t="s">
        <v>766</v>
      </c>
      <c r="B400" s="9">
        <v>0</v>
      </c>
      <c r="C400">
        <v>150</v>
      </c>
      <c r="D400" s="9" t="s">
        <v>767</v>
      </c>
      <c r="F400" s="5" t="s">
        <v>4655</v>
      </c>
      <c r="G400" s="5" t="s">
        <v>3884</v>
      </c>
      <c r="H400" s="5" t="s">
        <v>4656</v>
      </c>
      <c r="I400" s="6">
        <v>104</v>
      </c>
    </row>
    <row r="401" spans="1:9" x14ac:dyDescent="0.25">
      <c r="A401" t="s">
        <v>768</v>
      </c>
      <c r="B401" s="9">
        <v>-150</v>
      </c>
      <c r="C401">
        <v>150</v>
      </c>
      <c r="D401" s="9" t="s">
        <v>769</v>
      </c>
      <c r="F401" s="5" t="s">
        <v>4657</v>
      </c>
      <c r="G401" s="5" t="s">
        <v>3870</v>
      </c>
      <c r="H401" s="5" t="s">
        <v>4658</v>
      </c>
      <c r="I401" s="6"/>
    </row>
    <row r="402" spans="1:9" x14ac:dyDescent="0.25">
      <c r="A402" t="s">
        <v>770</v>
      </c>
      <c r="B402" s="9">
        <v>-150</v>
      </c>
      <c r="C402">
        <v>150</v>
      </c>
      <c r="D402" s="9" t="s">
        <v>771</v>
      </c>
      <c r="F402" s="5" t="s">
        <v>4660</v>
      </c>
      <c r="G402" s="5" t="s">
        <v>3870</v>
      </c>
      <c r="H402" s="5" t="s">
        <v>4661</v>
      </c>
      <c r="I402" s="6">
        <v>132</v>
      </c>
    </row>
    <row r="403" spans="1:9" x14ac:dyDescent="0.25">
      <c r="A403" t="s">
        <v>772</v>
      </c>
      <c r="B403" s="9">
        <v>0</v>
      </c>
      <c r="C403">
        <v>150</v>
      </c>
      <c r="D403" s="9" t="s">
        <v>773</v>
      </c>
      <c r="F403" s="5" t="s">
        <v>4663</v>
      </c>
      <c r="G403" s="5" t="s">
        <v>3870</v>
      </c>
      <c r="H403" s="5" t="s">
        <v>4664</v>
      </c>
      <c r="I403" s="6">
        <v>8</v>
      </c>
    </row>
    <row r="404" spans="1:9" x14ac:dyDescent="0.25">
      <c r="A404" t="s">
        <v>774</v>
      </c>
      <c r="B404" s="9">
        <v>-150</v>
      </c>
      <c r="C404">
        <v>150</v>
      </c>
      <c r="D404" s="9" t="s">
        <v>775</v>
      </c>
      <c r="F404" s="5" t="s">
        <v>4665</v>
      </c>
      <c r="G404" s="5" t="s">
        <v>3870</v>
      </c>
      <c r="H404" s="5" t="s">
        <v>4666</v>
      </c>
      <c r="I404" s="6">
        <v>106</v>
      </c>
    </row>
    <row r="405" spans="1:9" x14ac:dyDescent="0.25">
      <c r="A405" t="s">
        <v>776</v>
      </c>
      <c r="B405" s="9">
        <v>0</v>
      </c>
      <c r="C405">
        <v>150</v>
      </c>
      <c r="D405" s="9" t="s">
        <v>777</v>
      </c>
      <c r="F405" s="5" t="s">
        <v>4667</v>
      </c>
      <c r="G405" s="5" t="s">
        <v>3870</v>
      </c>
      <c r="H405" s="5" t="s">
        <v>4668</v>
      </c>
      <c r="I405" s="6">
        <v>106</v>
      </c>
    </row>
    <row r="406" spans="1:9" x14ac:dyDescent="0.25">
      <c r="A406" t="s">
        <v>778</v>
      </c>
      <c r="B406" s="9">
        <v>-150</v>
      </c>
      <c r="C406">
        <v>150</v>
      </c>
      <c r="D406" s="9" t="s">
        <v>779</v>
      </c>
      <c r="F406" s="5" t="s">
        <v>4669</v>
      </c>
      <c r="G406" s="5" t="s">
        <v>3901</v>
      </c>
      <c r="H406" s="5" t="s">
        <v>4670</v>
      </c>
      <c r="I406" s="6"/>
    </row>
    <row r="407" spans="1:9" x14ac:dyDescent="0.25">
      <c r="A407" t="s">
        <v>780</v>
      </c>
      <c r="B407" s="9">
        <v>-150</v>
      </c>
      <c r="C407">
        <v>150</v>
      </c>
      <c r="D407" s="9" t="s">
        <v>781</v>
      </c>
      <c r="F407" s="5" t="s">
        <v>4671</v>
      </c>
      <c r="G407" s="5" t="s">
        <v>3939</v>
      </c>
      <c r="H407" s="5" t="s">
        <v>4672</v>
      </c>
      <c r="I407" s="6"/>
    </row>
    <row r="408" spans="1:9" x14ac:dyDescent="0.25">
      <c r="A408" t="s">
        <v>782</v>
      </c>
      <c r="B408" s="9">
        <v>0</v>
      </c>
      <c r="C408">
        <v>150</v>
      </c>
      <c r="D408" s="9" t="s">
        <v>783</v>
      </c>
      <c r="F408" s="5" t="s">
        <v>4673</v>
      </c>
      <c r="G408" s="5" t="s">
        <v>3939</v>
      </c>
      <c r="H408" s="5" t="s">
        <v>4674</v>
      </c>
      <c r="I408" s="6">
        <v>111</v>
      </c>
    </row>
    <row r="409" spans="1:9" x14ac:dyDescent="0.25">
      <c r="A409" t="s">
        <v>784</v>
      </c>
      <c r="B409" s="9">
        <v>0</v>
      </c>
      <c r="C409">
        <v>150</v>
      </c>
      <c r="D409" s="9" t="s">
        <v>785</v>
      </c>
      <c r="F409" s="5" t="s">
        <v>4675</v>
      </c>
      <c r="G409" s="5" t="s">
        <v>3939</v>
      </c>
      <c r="H409" s="5" t="s">
        <v>4674</v>
      </c>
      <c r="I409" s="6">
        <v>111</v>
      </c>
    </row>
    <row r="410" spans="1:9" x14ac:dyDescent="0.25">
      <c r="A410" t="s">
        <v>786</v>
      </c>
      <c r="B410" s="9">
        <v>0</v>
      </c>
      <c r="C410">
        <v>150</v>
      </c>
      <c r="D410" s="9" t="s">
        <v>787</v>
      </c>
      <c r="F410" s="5" t="s">
        <v>4676</v>
      </c>
      <c r="G410" s="5" t="s">
        <v>3894</v>
      </c>
      <c r="I410" s="6">
        <v>101</v>
      </c>
    </row>
    <row r="411" spans="1:9" x14ac:dyDescent="0.25">
      <c r="A411" t="s">
        <v>788</v>
      </c>
      <c r="B411" s="9">
        <v>0</v>
      </c>
      <c r="C411">
        <v>150</v>
      </c>
      <c r="D411" s="9" t="s">
        <v>6892</v>
      </c>
      <c r="F411" s="5" t="s">
        <v>4677</v>
      </c>
      <c r="G411" s="5" t="s">
        <v>4562</v>
      </c>
      <c r="H411" s="5" t="s">
        <v>4678</v>
      </c>
      <c r="I411" s="6"/>
    </row>
    <row r="412" spans="1:9" x14ac:dyDescent="0.25">
      <c r="A412" t="s">
        <v>789</v>
      </c>
      <c r="B412" s="9">
        <v>0</v>
      </c>
      <c r="C412">
        <v>150</v>
      </c>
      <c r="D412" s="9" t="s">
        <v>6893</v>
      </c>
      <c r="F412" s="5" t="s">
        <v>4679</v>
      </c>
      <c r="G412" s="5" t="s">
        <v>4562</v>
      </c>
      <c r="H412" s="5" t="s">
        <v>4680</v>
      </c>
      <c r="I412" s="6"/>
    </row>
    <row r="413" spans="1:9" x14ac:dyDescent="0.25">
      <c r="A413" t="s">
        <v>790</v>
      </c>
      <c r="B413" s="9">
        <v>0</v>
      </c>
      <c r="C413">
        <v>150</v>
      </c>
      <c r="D413" s="9" t="s">
        <v>791</v>
      </c>
      <c r="F413" s="5" t="s">
        <v>4681</v>
      </c>
      <c r="G413" s="5" t="s">
        <v>3878</v>
      </c>
      <c r="I413" s="6" t="s">
        <v>4128</v>
      </c>
    </row>
    <row r="414" spans="1:9" x14ac:dyDescent="0.25">
      <c r="A414" t="s">
        <v>792</v>
      </c>
      <c r="B414" s="9">
        <v>0</v>
      </c>
      <c r="C414">
        <v>150</v>
      </c>
      <c r="D414" s="9" t="s">
        <v>793</v>
      </c>
      <c r="F414" s="5" t="s">
        <v>4682</v>
      </c>
      <c r="G414" s="5" t="s">
        <v>3878</v>
      </c>
      <c r="I414" s="6" t="s">
        <v>4128</v>
      </c>
    </row>
    <row r="415" spans="1:9" x14ac:dyDescent="0.25">
      <c r="A415" t="s">
        <v>794</v>
      </c>
      <c r="B415" s="9">
        <v>0</v>
      </c>
      <c r="C415">
        <v>150</v>
      </c>
      <c r="D415" s="9" t="s">
        <v>795</v>
      </c>
      <c r="F415" s="5" t="s">
        <v>4684</v>
      </c>
      <c r="G415" s="5" t="s">
        <v>3878</v>
      </c>
      <c r="I415" s="6" t="s">
        <v>4128</v>
      </c>
    </row>
    <row r="416" spans="1:9" x14ac:dyDescent="0.25">
      <c r="A416" t="s">
        <v>796</v>
      </c>
      <c r="B416" s="9">
        <v>0</v>
      </c>
      <c r="C416">
        <v>150</v>
      </c>
      <c r="D416" s="9" t="s">
        <v>797</v>
      </c>
      <c r="F416" s="5" t="s">
        <v>4686</v>
      </c>
      <c r="G416" s="5" t="s">
        <v>3991</v>
      </c>
      <c r="H416" s="5" t="s">
        <v>4687</v>
      </c>
      <c r="I416" s="6"/>
    </row>
    <row r="417" spans="1:9" x14ac:dyDescent="0.25">
      <c r="A417" t="s">
        <v>798</v>
      </c>
      <c r="B417" s="9">
        <v>0</v>
      </c>
      <c r="C417">
        <v>150</v>
      </c>
      <c r="D417" s="9" t="s">
        <v>799</v>
      </c>
      <c r="F417" s="5" t="s">
        <v>4689</v>
      </c>
      <c r="G417" s="5" t="s">
        <v>3991</v>
      </c>
      <c r="H417" s="5" t="s">
        <v>4690</v>
      </c>
      <c r="I417" s="6"/>
    </row>
    <row r="418" spans="1:9" x14ac:dyDescent="0.25">
      <c r="A418" t="s">
        <v>800</v>
      </c>
      <c r="B418" s="9">
        <v>0</v>
      </c>
      <c r="C418">
        <v>150</v>
      </c>
      <c r="D418" s="9" t="s">
        <v>801</v>
      </c>
      <c r="F418" s="5" t="s">
        <v>4691</v>
      </c>
      <c r="G418" s="5" t="s">
        <v>4462</v>
      </c>
      <c r="H418" s="5" t="s">
        <v>4692</v>
      </c>
      <c r="I418" s="7">
        <v>58108</v>
      </c>
    </row>
    <row r="419" spans="1:9" x14ac:dyDescent="0.25">
      <c r="A419" t="s">
        <v>802</v>
      </c>
      <c r="B419" s="9">
        <v>0</v>
      </c>
      <c r="C419">
        <v>150</v>
      </c>
      <c r="D419" s="9" t="s">
        <v>803</v>
      </c>
      <c r="F419" s="5" t="s">
        <v>4693</v>
      </c>
      <c r="G419" s="5" t="s">
        <v>3884</v>
      </c>
      <c r="H419" s="5" t="s">
        <v>4694</v>
      </c>
      <c r="I419" s="6">
        <v>70</v>
      </c>
    </row>
    <row r="420" spans="1:9" x14ac:dyDescent="0.25">
      <c r="A420" t="s">
        <v>804</v>
      </c>
      <c r="B420" s="9">
        <v>0</v>
      </c>
      <c r="C420">
        <v>150</v>
      </c>
      <c r="D420" s="9" t="s">
        <v>805</v>
      </c>
      <c r="F420" s="5" t="s">
        <v>4695</v>
      </c>
      <c r="G420" s="5" t="s">
        <v>3870</v>
      </c>
      <c r="H420" s="5" t="s">
        <v>4696</v>
      </c>
      <c r="I420" s="6">
        <v>11</v>
      </c>
    </row>
    <row r="421" spans="1:9" x14ac:dyDescent="0.25">
      <c r="A421" t="s">
        <v>806</v>
      </c>
      <c r="B421" s="9">
        <v>0</v>
      </c>
      <c r="C421">
        <v>150</v>
      </c>
      <c r="D421" s="9" t="s">
        <v>807</v>
      </c>
      <c r="F421" s="5" t="s">
        <v>4697</v>
      </c>
      <c r="G421" s="5" t="s">
        <v>3870</v>
      </c>
      <c r="I421" s="6">
        <v>10</v>
      </c>
    </row>
    <row r="422" spans="1:9" x14ac:dyDescent="0.25">
      <c r="A422" t="s">
        <v>808</v>
      </c>
      <c r="B422" s="9">
        <v>0</v>
      </c>
      <c r="C422">
        <v>150</v>
      </c>
      <c r="D422" s="9" t="s">
        <v>809</v>
      </c>
      <c r="F422" s="5" t="s">
        <v>4698</v>
      </c>
      <c r="G422" s="5" t="s">
        <v>3870</v>
      </c>
      <c r="I422" s="6">
        <v>10</v>
      </c>
    </row>
    <row r="423" spans="1:9" x14ac:dyDescent="0.25">
      <c r="A423" t="s">
        <v>810</v>
      </c>
      <c r="B423" s="9">
        <v>0</v>
      </c>
      <c r="C423">
        <v>150</v>
      </c>
      <c r="D423" s="9" t="s">
        <v>811</v>
      </c>
      <c r="F423" s="5" t="s">
        <v>4699</v>
      </c>
      <c r="G423" s="5" t="s">
        <v>3870</v>
      </c>
      <c r="I423" s="6">
        <v>10</v>
      </c>
    </row>
    <row r="424" spans="1:9" x14ac:dyDescent="0.25">
      <c r="A424" t="s">
        <v>812</v>
      </c>
      <c r="B424" s="9">
        <v>0</v>
      </c>
      <c r="C424">
        <v>150</v>
      </c>
      <c r="D424" s="9" t="s">
        <v>813</v>
      </c>
      <c r="F424" s="5" t="s">
        <v>4700</v>
      </c>
      <c r="G424" s="5" t="s">
        <v>3870</v>
      </c>
      <c r="I424" s="6">
        <v>10</v>
      </c>
    </row>
    <row r="425" spans="1:9" x14ac:dyDescent="0.25">
      <c r="A425" t="s">
        <v>814</v>
      </c>
      <c r="B425" s="9">
        <v>0</v>
      </c>
      <c r="C425">
        <v>150</v>
      </c>
      <c r="D425" s="9" t="s">
        <v>815</v>
      </c>
      <c r="F425" s="5" t="s">
        <v>4701</v>
      </c>
      <c r="G425" s="5" t="s">
        <v>3870</v>
      </c>
      <c r="I425" s="6">
        <v>10</v>
      </c>
    </row>
    <row r="426" spans="1:9" x14ac:dyDescent="0.25">
      <c r="A426" t="s">
        <v>816</v>
      </c>
      <c r="B426" s="9">
        <v>-150</v>
      </c>
      <c r="C426">
        <v>150</v>
      </c>
      <c r="D426" s="9" t="s">
        <v>817</v>
      </c>
      <c r="F426" s="5" t="s">
        <v>4702</v>
      </c>
      <c r="G426" s="5" t="s">
        <v>3870</v>
      </c>
      <c r="I426" s="6">
        <v>10</v>
      </c>
    </row>
    <row r="427" spans="1:9" x14ac:dyDescent="0.25">
      <c r="A427" t="s">
        <v>818</v>
      </c>
      <c r="B427" s="9">
        <v>-150</v>
      </c>
      <c r="C427">
        <v>150</v>
      </c>
      <c r="D427" s="9" t="s">
        <v>819</v>
      </c>
      <c r="F427" s="5" t="s">
        <v>4703</v>
      </c>
      <c r="G427" s="5" t="s">
        <v>3870</v>
      </c>
      <c r="I427" s="6">
        <v>10</v>
      </c>
    </row>
    <row r="428" spans="1:9" x14ac:dyDescent="0.25">
      <c r="A428" t="s">
        <v>820</v>
      </c>
      <c r="B428" s="9">
        <v>-150</v>
      </c>
      <c r="C428">
        <v>150</v>
      </c>
      <c r="D428" s="9" t="s">
        <v>821</v>
      </c>
      <c r="F428" s="5" t="s">
        <v>4704</v>
      </c>
      <c r="G428" s="5" t="s">
        <v>3870</v>
      </c>
      <c r="I428" s="6">
        <v>10</v>
      </c>
    </row>
    <row r="429" spans="1:9" x14ac:dyDescent="0.25">
      <c r="A429" t="s">
        <v>822</v>
      </c>
      <c r="B429" s="9">
        <v>0</v>
      </c>
      <c r="C429">
        <v>150</v>
      </c>
      <c r="D429" s="9" t="s">
        <v>6894</v>
      </c>
      <c r="F429" s="5" t="s">
        <v>4705</v>
      </c>
      <c r="G429" s="5" t="s">
        <v>3870</v>
      </c>
      <c r="H429" s="5" t="s">
        <v>4706</v>
      </c>
      <c r="I429" s="6">
        <v>43</v>
      </c>
    </row>
    <row r="430" spans="1:9" x14ac:dyDescent="0.25">
      <c r="A430" t="s">
        <v>823</v>
      </c>
      <c r="B430" s="9">
        <v>-150</v>
      </c>
      <c r="C430">
        <v>150</v>
      </c>
      <c r="D430" s="9" t="s">
        <v>824</v>
      </c>
      <c r="F430" s="5" t="s">
        <v>4707</v>
      </c>
      <c r="G430" s="5" t="s">
        <v>3870</v>
      </c>
      <c r="H430" s="5" t="s">
        <v>4708</v>
      </c>
      <c r="I430" s="6"/>
    </row>
    <row r="431" spans="1:9" x14ac:dyDescent="0.25">
      <c r="A431" t="s">
        <v>825</v>
      </c>
      <c r="B431" s="9">
        <v>0</v>
      </c>
      <c r="C431">
        <v>150</v>
      </c>
      <c r="D431" s="9" t="s">
        <v>826</v>
      </c>
      <c r="F431" s="5" t="s">
        <v>4709</v>
      </c>
      <c r="G431" s="5" t="s">
        <v>3870</v>
      </c>
      <c r="H431" s="5" t="s">
        <v>4710</v>
      </c>
      <c r="I431" s="6">
        <v>43</v>
      </c>
    </row>
    <row r="432" spans="1:9" x14ac:dyDescent="0.25">
      <c r="A432" t="s">
        <v>827</v>
      </c>
      <c r="B432" s="9">
        <v>0</v>
      </c>
      <c r="C432">
        <v>150</v>
      </c>
      <c r="D432" s="9" t="s">
        <v>828</v>
      </c>
      <c r="F432" s="5" t="s">
        <v>4712</v>
      </c>
      <c r="G432" s="5" t="s">
        <v>3870</v>
      </c>
      <c r="H432" s="5" t="s">
        <v>4713</v>
      </c>
      <c r="I432" s="6">
        <v>132</v>
      </c>
    </row>
    <row r="433" spans="1:9" x14ac:dyDescent="0.25">
      <c r="A433" t="s">
        <v>829</v>
      </c>
      <c r="B433" s="9">
        <v>0</v>
      </c>
      <c r="C433">
        <v>150</v>
      </c>
      <c r="D433" s="9" t="s">
        <v>3310</v>
      </c>
      <c r="F433" s="5" t="s">
        <v>4714</v>
      </c>
      <c r="G433" s="5" t="s">
        <v>3884</v>
      </c>
      <c r="I433" s="6"/>
    </row>
    <row r="434" spans="1:9" x14ac:dyDescent="0.25">
      <c r="A434" t="s">
        <v>830</v>
      </c>
      <c r="B434" s="9">
        <v>0</v>
      </c>
      <c r="C434">
        <v>150</v>
      </c>
      <c r="D434" s="9" t="s">
        <v>831</v>
      </c>
      <c r="F434" s="5" t="s">
        <v>4714</v>
      </c>
      <c r="G434" s="5" t="s">
        <v>3884</v>
      </c>
      <c r="I434" s="6"/>
    </row>
    <row r="435" spans="1:9" x14ac:dyDescent="0.25">
      <c r="A435" t="s">
        <v>832</v>
      </c>
      <c r="B435" s="9">
        <v>0</v>
      </c>
      <c r="C435">
        <v>150</v>
      </c>
      <c r="D435" s="9" t="s">
        <v>833</v>
      </c>
      <c r="F435" s="5" t="s">
        <v>4715</v>
      </c>
      <c r="G435" s="5" t="s">
        <v>3878</v>
      </c>
      <c r="H435" s="5" t="s">
        <v>4716</v>
      </c>
      <c r="I435" s="6"/>
    </row>
    <row r="436" spans="1:9" x14ac:dyDescent="0.25">
      <c r="A436" t="s">
        <v>834</v>
      </c>
      <c r="B436" s="9">
        <v>0</v>
      </c>
      <c r="C436">
        <v>150</v>
      </c>
      <c r="D436" s="9" t="s">
        <v>835</v>
      </c>
      <c r="F436" s="5" t="s">
        <v>4717</v>
      </c>
      <c r="G436" s="5" t="s">
        <v>3894</v>
      </c>
      <c r="H436" s="5" t="s">
        <v>4718</v>
      </c>
      <c r="I436" s="6">
        <v>21</v>
      </c>
    </row>
    <row r="437" spans="1:9" x14ac:dyDescent="0.25">
      <c r="A437" t="s">
        <v>836</v>
      </c>
      <c r="B437" s="9">
        <v>-150</v>
      </c>
      <c r="C437">
        <v>150</v>
      </c>
      <c r="D437" s="9" t="s">
        <v>837</v>
      </c>
      <c r="F437" s="5" t="s">
        <v>4719</v>
      </c>
      <c r="G437" s="5" t="s">
        <v>4330</v>
      </c>
      <c r="H437" s="5" t="s">
        <v>4720</v>
      </c>
      <c r="I437" s="6"/>
    </row>
    <row r="438" spans="1:9" x14ac:dyDescent="0.25">
      <c r="A438" t="s">
        <v>838</v>
      </c>
      <c r="B438" s="9">
        <v>-150</v>
      </c>
      <c r="C438">
        <v>150</v>
      </c>
      <c r="D438" s="9" t="s">
        <v>839</v>
      </c>
      <c r="F438" s="5" t="s">
        <v>4721</v>
      </c>
      <c r="G438" s="5" t="s">
        <v>4330</v>
      </c>
      <c r="H438" s="5" t="s">
        <v>4722</v>
      </c>
      <c r="I438" s="6"/>
    </row>
    <row r="439" spans="1:9" x14ac:dyDescent="0.25">
      <c r="A439" t="s">
        <v>840</v>
      </c>
      <c r="B439" s="9">
        <v>0</v>
      </c>
      <c r="C439">
        <v>150</v>
      </c>
      <c r="D439" s="9" t="s">
        <v>841</v>
      </c>
      <c r="F439" s="5" t="s">
        <v>4723</v>
      </c>
      <c r="G439" s="5" t="s">
        <v>4330</v>
      </c>
      <c r="I439" s="6"/>
    </row>
    <row r="440" spans="1:9" x14ac:dyDescent="0.25">
      <c r="A440" t="s">
        <v>842</v>
      </c>
      <c r="B440" s="9">
        <v>-150</v>
      </c>
      <c r="C440">
        <v>150</v>
      </c>
      <c r="D440" s="9" t="s">
        <v>843</v>
      </c>
      <c r="F440" s="5" t="s">
        <v>4724</v>
      </c>
      <c r="G440" s="5" t="s">
        <v>3894</v>
      </c>
      <c r="H440" s="5" t="s">
        <v>4725</v>
      </c>
      <c r="I440" s="6"/>
    </row>
    <row r="441" spans="1:9" x14ac:dyDescent="0.25">
      <c r="A441" t="s">
        <v>844</v>
      </c>
      <c r="B441" s="9">
        <v>0</v>
      </c>
      <c r="C441">
        <v>150</v>
      </c>
      <c r="D441" s="9" t="s">
        <v>845</v>
      </c>
      <c r="F441" s="5" t="s">
        <v>4726</v>
      </c>
      <c r="G441" s="5" t="s">
        <v>3894</v>
      </c>
      <c r="H441" s="5" t="s">
        <v>4727</v>
      </c>
      <c r="I441" s="6"/>
    </row>
    <row r="442" spans="1:9" x14ac:dyDescent="0.25">
      <c r="A442" t="s">
        <v>846</v>
      </c>
      <c r="B442" s="9">
        <v>0</v>
      </c>
      <c r="C442">
        <v>150</v>
      </c>
      <c r="D442" s="9" t="s">
        <v>847</v>
      </c>
      <c r="F442" s="5" t="s">
        <v>4728</v>
      </c>
      <c r="G442" s="5" t="s">
        <v>3894</v>
      </c>
      <c r="I442" s="6"/>
    </row>
    <row r="443" spans="1:9" x14ac:dyDescent="0.25">
      <c r="A443" t="s">
        <v>848</v>
      </c>
      <c r="B443" s="9">
        <v>0</v>
      </c>
      <c r="C443">
        <v>150</v>
      </c>
      <c r="D443" s="9" t="s">
        <v>849</v>
      </c>
      <c r="F443" s="5" t="s">
        <v>4730</v>
      </c>
      <c r="G443" s="5" t="s">
        <v>3878</v>
      </c>
      <c r="H443" s="5" t="s">
        <v>4731</v>
      </c>
      <c r="I443" s="6"/>
    </row>
    <row r="444" spans="1:9" x14ac:dyDescent="0.25">
      <c r="A444" t="s">
        <v>1388</v>
      </c>
      <c r="B444" s="9">
        <v>0</v>
      </c>
      <c r="C444">
        <v>150</v>
      </c>
      <c r="D444" s="9" t="s">
        <v>1389</v>
      </c>
      <c r="F444" s="5" t="s">
        <v>4732</v>
      </c>
      <c r="G444" s="5" t="s">
        <v>3878</v>
      </c>
      <c r="H444" s="5" t="s">
        <v>4731</v>
      </c>
      <c r="I444" s="6"/>
    </row>
    <row r="445" spans="1:9" x14ac:dyDescent="0.25">
      <c r="A445" t="s">
        <v>850</v>
      </c>
      <c r="B445" s="9">
        <v>0</v>
      </c>
      <c r="C445">
        <v>150</v>
      </c>
      <c r="D445" s="9" t="s">
        <v>851</v>
      </c>
      <c r="F445" s="5" t="s">
        <v>4733</v>
      </c>
      <c r="G445" s="5" t="s">
        <v>4097</v>
      </c>
      <c r="H445" s="5" t="s">
        <v>4734</v>
      </c>
      <c r="I445" s="6"/>
    </row>
    <row r="446" spans="1:9" x14ac:dyDescent="0.25">
      <c r="A446" t="s">
        <v>852</v>
      </c>
      <c r="B446" s="9">
        <v>0</v>
      </c>
      <c r="C446">
        <v>150</v>
      </c>
      <c r="D446" s="9" t="s">
        <v>853</v>
      </c>
      <c r="F446" s="5" t="s">
        <v>4735</v>
      </c>
      <c r="G446" s="5" t="s">
        <v>4097</v>
      </c>
      <c r="H446" s="5" t="s">
        <v>4734</v>
      </c>
      <c r="I446" s="6"/>
    </row>
    <row r="447" spans="1:9" x14ac:dyDescent="0.25">
      <c r="A447" t="s">
        <v>854</v>
      </c>
      <c r="B447" s="9">
        <v>0</v>
      </c>
      <c r="C447">
        <v>150</v>
      </c>
      <c r="D447" s="9" t="s">
        <v>855</v>
      </c>
      <c r="F447" s="5" t="s">
        <v>4739</v>
      </c>
      <c r="G447" s="5" t="s">
        <v>4097</v>
      </c>
      <c r="H447" s="5" t="s">
        <v>4734</v>
      </c>
      <c r="I447" s="6"/>
    </row>
    <row r="448" spans="1:9" x14ac:dyDescent="0.25">
      <c r="A448" t="s">
        <v>856</v>
      </c>
      <c r="B448" s="9">
        <v>0</v>
      </c>
      <c r="C448">
        <v>150</v>
      </c>
      <c r="D448" s="9" t="s">
        <v>857</v>
      </c>
      <c r="F448" s="5" t="s">
        <v>4740</v>
      </c>
      <c r="G448" s="5" t="s">
        <v>3878</v>
      </c>
      <c r="H448" s="5" t="s">
        <v>4741</v>
      </c>
      <c r="I448" s="6">
        <v>60</v>
      </c>
    </row>
    <row r="449" spans="1:9" x14ac:dyDescent="0.25">
      <c r="A449" t="s">
        <v>858</v>
      </c>
      <c r="B449" s="9">
        <v>0</v>
      </c>
      <c r="C449">
        <v>150</v>
      </c>
      <c r="D449" s="9" t="s">
        <v>859</v>
      </c>
      <c r="F449" s="5" t="s">
        <v>4742</v>
      </c>
      <c r="G449" s="5" t="s">
        <v>3878</v>
      </c>
      <c r="I449" s="6"/>
    </row>
    <row r="450" spans="1:9" x14ac:dyDescent="0.25">
      <c r="A450" t="s">
        <v>860</v>
      </c>
      <c r="B450" s="9">
        <v>0</v>
      </c>
      <c r="C450">
        <v>150</v>
      </c>
      <c r="D450" s="9" t="s">
        <v>861</v>
      </c>
      <c r="F450" s="5" t="s">
        <v>4743</v>
      </c>
      <c r="G450" s="5" t="s">
        <v>3878</v>
      </c>
      <c r="H450" s="5" t="s">
        <v>4744</v>
      </c>
      <c r="I450" s="6"/>
    </row>
    <row r="451" spans="1:9" x14ac:dyDescent="0.25">
      <c r="A451" t="s">
        <v>862</v>
      </c>
      <c r="B451" s="9">
        <v>0</v>
      </c>
      <c r="C451">
        <v>150</v>
      </c>
      <c r="D451" s="9" t="s">
        <v>863</v>
      </c>
      <c r="F451" s="5" t="s">
        <v>4745</v>
      </c>
      <c r="G451" s="5" t="s">
        <v>3878</v>
      </c>
      <c r="I451" s="6"/>
    </row>
    <row r="452" spans="1:9" x14ac:dyDescent="0.25">
      <c r="A452" t="s">
        <v>864</v>
      </c>
      <c r="B452" s="9">
        <v>-150</v>
      </c>
      <c r="C452">
        <v>150</v>
      </c>
      <c r="D452" s="9" t="s">
        <v>865</v>
      </c>
      <c r="F452" s="5" t="s">
        <v>4750</v>
      </c>
      <c r="G452" s="5" t="s">
        <v>3949</v>
      </c>
      <c r="H452" s="5" t="s">
        <v>4751</v>
      </c>
      <c r="I452" s="6"/>
    </row>
    <row r="453" spans="1:9" x14ac:dyDescent="0.25">
      <c r="A453" t="s">
        <v>866</v>
      </c>
      <c r="B453" s="9">
        <v>-150</v>
      </c>
      <c r="C453">
        <v>150</v>
      </c>
      <c r="D453" s="9" t="s">
        <v>867</v>
      </c>
      <c r="F453" s="5" t="s">
        <v>4752</v>
      </c>
      <c r="G453" s="5" t="s">
        <v>3949</v>
      </c>
      <c r="H453" s="5" t="s">
        <v>4751</v>
      </c>
      <c r="I453" s="6"/>
    </row>
    <row r="454" spans="1:9" x14ac:dyDescent="0.25">
      <c r="A454" t="s">
        <v>868</v>
      </c>
      <c r="B454" s="9">
        <v>-150</v>
      </c>
      <c r="C454">
        <v>150</v>
      </c>
      <c r="D454" s="9" t="s">
        <v>869</v>
      </c>
      <c r="F454" s="5" t="s">
        <v>4753</v>
      </c>
      <c r="G454" s="5" t="s">
        <v>3949</v>
      </c>
      <c r="H454" s="5" t="s">
        <v>4751</v>
      </c>
      <c r="I454" s="6"/>
    </row>
    <row r="455" spans="1:9" x14ac:dyDescent="0.25">
      <c r="A455" t="s">
        <v>870</v>
      </c>
      <c r="B455" s="9">
        <v>-150</v>
      </c>
      <c r="C455">
        <v>150</v>
      </c>
      <c r="D455" s="9" t="s">
        <v>871</v>
      </c>
      <c r="F455" s="5" t="s">
        <v>4754</v>
      </c>
      <c r="G455" s="5" t="s">
        <v>3949</v>
      </c>
      <c r="H455" s="5" t="s">
        <v>4751</v>
      </c>
      <c r="I455" s="6"/>
    </row>
    <row r="456" spans="1:9" x14ac:dyDescent="0.25">
      <c r="A456" t="s">
        <v>872</v>
      </c>
      <c r="B456" s="9">
        <v>-150</v>
      </c>
      <c r="C456">
        <v>150</v>
      </c>
      <c r="D456" s="9" t="s">
        <v>873</v>
      </c>
      <c r="F456" s="5" t="s">
        <v>4755</v>
      </c>
      <c r="G456" s="5" t="s">
        <v>3949</v>
      </c>
      <c r="H456" s="5" t="s">
        <v>4751</v>
      </c>
      <c r="I456" s="6"/>
    </row>
    <row r="457" spans="1:9" x14ac:dyDescent="0.25">
      <c r="A457" t="s">
        <v>874</v>
      </c>
      <c r="B457" s="9">
        <v>-150</v>
      </c>
      <c r="C457">
        <v>150</v>
      </c>
      <c r="D457" s="9" t="s">
        <v>875</v>
      </c>
      <c r="F457" s="5" t="s">
        <v>4756</v>
      </c>
      <c r="G457" s="5" t="s">
        <v>3949</v>
      </c>
      <c r="H457" s="5" t="s">
        <v>4751</v>
      </c>
      <c r="I457" s="6"/>
    </row>
    <row r="458" spans="1:9" x14ac:dyDescent="0.25">
      <c r="A458" t="s">
        <v>876</v>
      </c>
      <c r="B458" s="9">
        <v>-150</v>
      </c>
      <c r="C458">
        <v>150</v>
      </c>
      <c r="D458" s="9" t="s">
        <v>877</v>
      </c>
      <c r="F458" s="5" t="s">
        <v>4757</v>
      </c>
      <c r="G458" s="5" t="s">
        <v>3949</v>
      </c>
      <c r="H458" s="5" t="s">
        <v>4751</v>
      </c>
      <c r="I458" s="6"/>
    </row>
    <row r="459" spans="1:9" x14ac:dyDescent="0.25">
      <c r="A459" t="s">
        <v>878</v>
      </c>
      <c r="B459" s="9">
        <v>-150</v>
      </c>
      <c r="C459">
        <v>150</v>
      </c>
      <c r="D459" s="9" t="s">
        <v>879</v>
      </c>
      <c r="F459" s="5" t="s">
        <v>4758</v>
      </c>
      <c r="G459" s="5" t="s">
        <v>3949</v>
      </c>
      <c r="H459" s="5" t="s">
        <v>4751</v>
      </c>
      <c r="I459" s="6"/>
    </row>
    <row r="460" spans="1:9" x14ac:dyDescent="0.25">
      <c r="A460" t="s">
        <v>880</v>
      </c>
      <c r="B460" s="9">
        <v>0</v>
      </c>
      <c r="C460">
        <v>150</v>
      </c>
      <c r="D460" s="9" t="s">
        <v>881</v>
      </c>
      <c r="F460" s="5" t="s">
        <v>4760</v>
      </c>
      <c r="G460" s="5" t="s">
        <v>3878</v>
      </c>
      <c r="H460" s="5" t="s">
        <v>4761</v>
      </c>
      <c r="I460" s="6"/>
    </row>
    <row r="461" spans="1:9" x14ac:dyDescent="0.25">
      <c r="A461" t="s">
        <v>882</v>
      </c>
      <c r="B461" s="9">
        <v>0</v>
      </c>
      <c r="C461">
        <v>150</v>
      </c>
      <c r="D461" s="9" t="s">
        <v>883</v>
      </c>
      <c r="F461" s="5" t="s">
        <v>4762</v>
      </c>
      <c r="G461" s="5" t="s">
        <v>3878</v>
      </c>
      <c r="H461" s="5" t="s">
        <v>4763</v>
      </c>
      <c r="I461" s="6"/>
    </row>
    <row r="462" spans="1:9" x14ac:dyDescent="0.25">
      <c r="A462" t="s">
        <v>884</v>
      </c>
      <c r="B462" s="9">
        <v>0</v>
      </c>
      <c r="C462">
        <v>150</v>
      </c>
      <c r="D462" s="9" t="s">
        <v>885</v>
      </c>
      <c r="F462" s="5" t="s">
        <v>4764</v>
      </c>
      <c r="G462" s="5" t="s">
        <v>3878</v>
      </c>
      <c r="H462" s="5" t="s">
        <v>4765</v>
      </c>
      <c r="I462" s="6"/>
    </row>
    <row r="463" spans="1:9" x14ac:dyDescent="0.25">
      <c r="A463" t="s">
        <v>886</v>
      </c>
      <c r="B463" s="9">
        <v>0</v>
      </c>
      <c r="C463">
        <v>150</v>
      </c>
      <c r="D463" s="9" t="s">
        <v>887</v>
      </c>
      <c r="F463" s="5" t="s">
        <v>4768</v>
      </c>
      <c r="G463" s="5" t="s">
        <v>3878</v>
      </c>
      <c r="H463" s="5" t="s">
        <v>4769</v>
      </c>
      <c r="I463" s="6"/>
    </row>
    <row r="464" spans="1:9" x14ac:dyDescent="0.25">
      <c r="A464" t="s">
        <v>888</v>
      </c>
      <c r="B464" s="9">
        <v>0</v>
      </c>
      <c r="C464">
        <v>150</v>
      </c>
      <c r="D464" s="9" t="s">
        <v>889</v>
      </c>
      <c r="F464" s="5" t="s">
        <v>4770</v>
      </c>
      <c r="G464" s="5" t="s">
        <v>3878</v>
      </c>
      <c r="H464" s="5" t="s">
        <v>4771</v>
      </c>
      <c r="I464" s="6"/>
    </row>
    <row r="465" spans="1:9" x14ac:dyDescent="0.25">
      <c r="A465" t="s">
        <v>890</v>
      </c>
      <c r="B465" s="9">
        <v>0</v>
      </c>
      <c r="C465">
        <v>150</v>
      </c>
      <c r="D465" s="9" t="s">
        <v>891</v>
      </c>
      <c r="F465" s="5" t="s">
        <v>4772</v>
      </c>
      <c r="G465" s="5" t="s">
        <v>3878</v>
      </c>
      <c r="I465" s="6">
        <v>67</v>
      </c>
    </row>
    <row r="466" spans="1:9" x14ac:dyDescent="0.25">
      <c r="A466" t="s">
        <v>892</v>
      </c>
      <c r="B466" s="9">
        <v>0</v>
      </c>
      <c r="C466">
        <v>150</v>
      </c>
      <c r="D466" s="9" t="s">
        <v>6895</v>
      </c>
      <c r="F466" s="5" t="s">
        <v>4773</v>
      </c>
      <c r="G466" s="5" t="s">
        <v>3878</v>
      </c>
      <c r="H466" s="5" t="s">
        <v>4774</v>
      </c>
      <c r="I466" s="6"/>
    </row>
    <row r="467" spans="1:9" x14ac:dyDescent="0.25">
      <c r="A467" t="s">
        <v>893</v>
      </c>
      <c r="B467" s="9">
        <v>0</v>
      </c>
      <c r="C467">
        <v>150</v>
      </c>
      <c r="D467" s="9" t="s">
        <v>894</v>
      </c>
      <c r="F467" s="5" t="s">
        <v>4779</v>
      </c>
      <c r="G467" s="5" t="s">
        <v>3878</v>
      </c>
      <c r="H467" s="5" t="s">
        <v>4780</v>
      </c>
      <c r="I467" s="6"/>
    </row>
    <row r="468" spans="1:9" x14ac:dyDescent="0.25">
      <c r="A468" t="s">
        <v>895</v>
      </c>
      <c r="B468" s="9">
        <v>0</v>
      </c>
      <c r="C468">
        <v>150</v>
      </c>
      <c r="D468" s="9" t="s">
        <v>896</v>
      </c>
      <c r="F468" s="5" t="s">
        <v>4781</v>
      </c>
      <c r="G468" s="5" t="s">
        <v>3949</v>
      </c>
      <c r="H468" s="5" t="s">
        <v>4782</v>
      </c>
      <c r="I468" s="6"/>
    </row>
    <row r="469" spans="1:9" x14ac:dyDescent="0.25">
      <c r="A469" t="s">
        <v>897</v>
      </c>
      <c r="B469" s="9">
        <v>0</v>
      </c>
      <c r="C469">
        <v>150</v>
      </c>
      <c r="D469" s="9" t="s">
        <v>898</v>
      </c>
      <c r="F469" s="5" t="s">
        <v>4783</v>
      </c>
      <c r="G469" s="5" t="s">
        <v>3949</v>
      </c>
      <c r="H469" s="5" t="s">
        <v>4782</v>
      </c>
      <c r="I469" s="6"/>
    </row>
    <row r="470" spans="1:9" x14ac:dyDescent="0.25">
      <c r="A470" t="s">
        <v>899</v>
      </c>
      <c r="B470" s="9">
        <v>0</v>
      </c>
      <c r="C470">
        <v>150</v>
      </c>
      <c r="D470" s="9" t="s">
        <v>900</v>
      </c>
      <c r="F470" s="5" t="s">
        <v>4784</v>
      </c>
      <c r="G470" s="5" t="s">
        <v>3949</v>
      </c>
      <c r="H470" s="5" t="s">
        <v>4782</v>
      </c>
      <c r="I470" s="6"/>
    </row>
    <row r="471" spans="1:9" x14ac:dyDescent="0.25">
      <c r="A471" t="s">
        <v>901</v>
      </c>
      <c r="B471" s="9">
        <v>0</v>
      </c>
      <c r="C471">
        <v>150</v>
      </c>
      <c r="D471" s="9" t="s">
        <v>902</v>
      </c>
      <c r="F471" s="5" t="s">
        <v>4785</v>
      </c>
      <c r="G471" s="5" t="s">
        <v>3949</v>
      </c>
      <c r="H471" s="5" t="s">
        <v>4782</v>
      </c>
      <c r="I471" s="6"/>
    </row>
    <row r="472" spans="1:9" x14ac:dyDescent="0.25">
      <c r="A472" t="s">
        <v>903</v>
      </c>
      <c r="B472" s="9">
        <v>0</v>
      </c>
      <c r="C472">
        <v>150</v>
      </c>
      <c r="D472" s="9" t="s">
        <v>904</v>
      </c>
      <c r="F472" s="5" t="s">
        <v>4786</v>
      </c>
      <c r="G472" s="5" t="s">
        <v>3949</v>
      </c>
      <c r="H472" s="5" t="s">
        <v>4782</v>
      </c>
      <c r="I472" s="6"/>
    </row>
    <row r="473" spans="1:9" x14ac:dyDescent="0.25">
      <c r="A473" t="s">
        <v>905</v>
      </c>
      <c r="B473" s="9">
        <v>0</v>
      </c>
      <c r="C473">
        <v>150</v>
      </c>
      <c r="D473" s="9" t="s">
        <v>906</v>
      </c>
      <c r="F473" s="5" t="s">
        <v>4787</v>
      </c>
      <c r="G473" s="5" t="s">
        <v>3949</v>
      </c>
      <c r="H473" s="5" t="s">
        <v>4782</v>
      </c>
      <c r="I473" s="6"/>
    </row>
    <row r="474" spans="1:9" x14ac:dyDescent="0.25">
      <c r="A474" t="s">
        <v>907</v>
      </c>
      <c r="B474" s="9">
        <v>0</v>
      </c>
      <c r="C474">
        <v>150</v>
      </c>
      <c r="D474" s="9" t="s">
        <v>908</v>
      </c>
      <c r="F474" s="5" t="s">
        <v>4788</v>
      </c>
      <c r="G474" s="5" t="s">
        <v>3949</v>
      </c>
      <c r="H474" s="5" t="s">
        <v>4782</v>
      </c>
      <c r="I474" s="6"/>
    </row>
    <row r="475" spans="1:9" x14ac:dyDescent="0.25">
      <c r="A475" t="s">
        <v>909</v>
      </c>
      <c r="B475" s="9">
        <v>0</v>
      </c>
      <c r="C475">
        <v>150</v>
      </c>
      <c r="D475" s="9" t="s">
        <v>910</v>
      </c>
      <c r="F475" s="5" t="s">
        <v>4789</v>
      </c>
      <c r="G475" s="5" t="s">
        <v>3949</v>
      </c>
      <c r="H475" s="5" t="s">
        <v>4782</v>
      </c>
      <c r="I475" s="6"/>
    </row>
    <row r="476" spans="1:9" x14ac:dyDescent="0.25">
      <c r="A476" t="s">
        <v>911</v>
      </c>
      <c r="B476" s="9">
        <v>0</v>
      </c>
      <c r="C476">
        <v>150</v>
      </c>
      <c r="D476" s="9" t="s">
        <v>912</v>
      </c>
      <c r="F476" s="5" t="s">
        <v>4790</v>
      </c>
      <c r="G476" s="5" t="s">
        <v>3949</v>
      </c>
      <c r="H476" s="5" t="s">
        <v>4782</v>
      </c>
      <c r="I476" s="6"/>
    </row>
    <row r="477" spans="1:9" x14ac:dyDescent="0.25">
      <c r="A477" t="s">
        <v>913</v>
      </c>
      <c r="B477" s="9">
        <v>0</v>
      </c>
      <c r="C477">
        <v>150</v>
      </c>
      <c r="D477" s="9" t="s">
        <v>914</v>
      </c>
      <c r="F477" s="5" t="s">
        <v>4791</v>
      </c>
      <c r="G477" s="5" t="s">
        <v>3949</v>
      </c>
      <c r="H477" s="5" t="s">
        <v>4782</v>
      </c>
      <c r="I477" s="6"/>
    </row>
    <row r="478" spans="1:9" x14ac:dyDescent="0.25">
      <c r="A478" t="s">
        <v>915</v>
      </c>
      <c r="B478" s="9">
        <v>0</v>
      </c>
      <c r="C478">
        <v>150</v>
      </c>
      <c r="D478" s="9" t="s">
        <v>916</v>
      </c>
      <c r="F478" s="5" t="s">
        <v>4792</v>
      </c>
      <c r="G478" s="5" t="s">
        <v>3949</v>
      </c>
      <c r="H478" s="5" t="s">
        <v>4782</v>
      </c>
      <c r="I478" s="6"/>
    </row>
    <row r="479" spans="1:9" x14ac:dyDescent="0.25">
      <c r="A479" t="s">
        <v>917</v>
      </c>
      <c r="B479" s="9">
        <v>0</v>
      </c>
      <c r="C479">
        <v>150</v>
      </c>
      <c r="D479" s="9" t="s">
        <v>918</v>
      </c>
      <c r="F479" s="5" t="s">
        <v>4793</v>
      </c>
      <c r="G479" s="5" t="s">
        <v>3949</v>
      </c>
      <c r="I479" s="6">
        <v>7</v>
      </c>
    </row>
    <row r="480" spans="1:9" x14ac:dyDescent="0.25">
      <c r="A480" t="s">
        <v>919</v>
      </c>
      <c r="B480" s="9">
        <v>0</v>
      </c>
      <c r="C480">
        <v>150</v>
      </c>
      <c r="D480" s="9" t="s">
        <v>920</v>
      </c>
      <c r="F480" s="5" t="s">
        <v>4794</v>
      </c>
      <c r="G480" s="5" t="s">
        <v>3949</v>
      </c>
      <c r="I480" s="6">
        <v>7</v>
      </c>
    </row>
    <row r="481" spans="1:9" x14ac:dyDescent="0.25">
      <c r="A481" t="s">
        <v>921</v>
      </c>
      <c r="B481" s="9">
        <v>0</v>
      </c>
      <c r="C481">
        <v>150</v>
      </c>
      <c r="D481" s="9" t="s">
        <v>922</v>
      </c>
      <c r="F481" s="5" t="s">
        <v>4795</v>
      </c>
      <c r="G481" s="5" t="s">
        <v>3949</v>
      </c>
      <c r="I481" s="6">
        <v>123</v>
      </c>
    </row>
    <row r="482" spans="1:9" x14ac:dyDescent="0.25">
      <c r="A482" t="s">
        <v>923</v>
      </c>
      <c r="B482" s="9">
        <v>0</v>
      </c>
      <c r="C482">
        <v>150</v>
      </c>
      <c r="D482" s="9" t="s">
        <v>924</v>
      </c>
      <c r="F482" s="5" t="s">
        <v>4796</v>
      </c>
      <c r="G482" s="5" t="s">
        <v>3949</v>
      </c>
      <c r="I482" s="6">
        <v>123</v>
      </c>
    </row>
    <row r="483" spans="1:9" x14ac:dyDescent="0.25">
      <c r="A483" t="s">
        <v>925</v>
      </c>
      <c r="B483" s="9">
        <v>0</v>
      </c>
      <c r="C483">
        <v>150</v>
      </c>
      <c r="D483" s="9" t="s">
        <v>926</v>
      </c>
      <c r="F483" s="5" t="s">
        <v>4797</v>
      </c>
      <c r="G483" s="5" t="s">
        <v>3949</v>
      </c>
      <c r="I483" s="6">
        <v>123</v>
      </c>
    </row>
    <row r="484" spans="1:9" x14ac:dyDescent="0.25">
      <c r="A484" t="s">
        <v>927</v>
      </c>
      <c r="B484" s="9">
        <v>0</v>
      </c>
      <c r="C484">
        <v>150</v>
      </c>
      <c r="D484" s="9" t="s">
        <v>928</v>
      </c>
      <c r="F484" s="5" t="s">
        <v>4798</v>
      </c>
      <c r="G484" s="5" t="s">
        <v>3949</v>
      </c>
      <c r="I484" s="6">
        <v>123</v>
      </c>
    </row>
    <row r="485" spans="1:9" x14ac:dyDescent="0.25">
      <c r="A485" t="s">
        <v>929</v>
      </c>
      <c r="B485" s="9">
        <v>0</v>
      </c>
      <c r="C485">
        <v>150</v>
      </c>
      <c r="D485" s="9" t="s">
        <v>930</v>
      </c>
      <c r="F485" s="5" t="s">
        <v>4799</v>
      </c>
      <c r="G485" s="5" t="s">
        <v>3949</v>
      </c>
      <c r="I485" s="6">
        <v>123</v>
      </c>
    </row>
    <row r="486" spans="1:9" x14ac:dyDescent="0.25">
      <c r="A486" t="s">
        <v>931</v>
      </c>
      <c r="B486" s="9">
        <v>0</v>
      </c>
      <c r="C486">
        <v>150</v>
      </c>
      <c r="D486" s="9" t="s">
        <v>932</v>
      </c>
      <c r="F486" s="5" t="s">
        <v>4800</v>
      </c>
      <c r="G486" s="5" t="s">
        <v>3949</v>
      </c>
      <c r="I486" s="6">
        <v>123</v>
      </c>
    </row>
    <row r="487" spans="1:9" x14ac:dyDescent="0.25">
      <c r="A487" t="s">
        <v>933</v>
      </c>
      <c r="B487" s="9">
        <v>0</v>
      </c>
      <c r="C487">
        <v>150</v>
      </c>
      <c r="D487" s="9" t="s">
        <v>934</v>
      </c>
      <c r="F487" s="5" t="s">
        <v>4801</v>
      </c>
      <c r="G487" s="5" t="s">
        <v>3949</v>
      </c>
      <c r="H487" s="5" t="s">
        <v>4802</v>
      </c>
      <c r="I487" s="6">
        <v>117</v>
      </c>
    </row>
    <row r="488" spans="1:9" x14ac:dyDescent="0.25">
      <c r="A488" t="s">
        <v>935</v>
      </c>
      <c r="B488" s="9">
        <v>0</v>
      </c>
      <c r="C488">
        <v>150</v>
      </c>
      <c r="D488" s="9" t="s">
        <v>936</v>
      </c>
      <c r="F488" s="5" t="s">
        <v>4801</v>
      </c>
      <c r="G488" s="5" t="s">
        <v>3949</v>
      </c>
      <c r="H488" s="5" t="s">
        <v>4802</v>
      </c>
      <c r="I488" s="6">
        <v>117</v>
      </c>
    </row>
    <row r="489" spans="1:9" x14ac:dyDescent="0.25">
      <c r="A489" t="s">
        <v>937</v>
      </c>
      <c r="B489" s="9">
        <v>0</v>
      </c>
      <c r="C489">
        <v>150</v>
      </c>
      <c r="D489" s="9" t="s">
        <v>938</v>
      </c>
      <c r="F489" s="5" t="s">
        <v>4803</v>
      </c>
      <c r="G489" s="5" t="s">
        <v>4097</v>
      </c>
      <c r="I489" s="7">
        <v>58140</v>
      </c>
    </row>
    <row r="490" spans="1:9" x14ac:dyDescent="0.25">
      <c r="A490" t="s">
        <v>939</v>
      </c>
      <c r="B490" s="9">
        <v>0</v>
      </c>
      <c r="C490">
        <v>150</v>
      </c>
      <c r="D490" s="9" t="s">
        <v>940</v>
      </c>
      <c r="F490" s="5" t="s">
        <v>4805</v>
      </c>
      <c r="G490" s="5" t="s">
        <v>3870</v>
      </c>
      <c r="I490" s="6">
        <v>47</v>
      </c>
    </row>
    <row r="491" spans="1:9" x14ac:dyDescent="0.25">
      <c r="A491" t="s">
        <v>941</v>
      </c>
      <c r="B491" s="9">
        <v>-150</v>
      </c>
      <c r="C491">
        <v>150</v>
      </c>
      <c r="D491" s="9" t="s">
        <v>942</v>
      </c>
      <c r="F491" s="5" t="s">
        <v>4806</v>
      </c>
      <c r="G491" s="5" t="s">
        <v>3894</v>
      </c>
      <c r="H491" s="5" t="s">
        <v>4807</v>
      </c>
      <c r="I491" s="6"/>
    </row>
    <row r="492" spans="1:9" x14ac:dyDescent="0.25">
      <c r="A492" t="s">
        <v>943</v>
      </c>
      <c r="B492" s="9">
        <v>0</v>
      </c>
      <c r="C492">
        <v>150</v>
      </c>
      <c r="D492" s="9" t="s">
        <v>944</v>
      </c>
      <c r="F492" s="5" t="s">
        <v>4809</v>
      </c>
      <c r="G492" s="5" t="s">
        <v>3878</v>
      </c>
      <c r="I492" s="6"/>
    </row>
    <row r="493" spans="1:9" x14ac:dyDescent="0.25">
      <c r="A493" t="s">
        <v>945</v>
      </c>
      <c r="B493" s="9">
        <v>-150</v>
      </c>
      <c r="C493">
        <v>150</v>
      </c>
      <c r="D493" s="9" t="s">
        <v>946</v>
      </c>
      <c r="F493" s="5" t="s">
        <v>4810</v>
      </c>
      <c r="G493" s="5" t="s">
        <v>3878</v>
      </c>
      <c r="H493" s="5" t="s">
        <v>4811</v>
      </c>
      <c r="I493" s="6"/>
    </row>
    <row r="494" spans="1:9" x14ac:dyDescent="0.25">
      <c r="A494" t="s">
        <v>947</v>
      </c>
      <c r="B494" s="9">
        <v>0</v>
      </c>
      <c r="C494">
        <v>150</v>
      </c>
      <c r="D494" s="9" t="s">
        <v>948</v>
      </c>
      <c r="F494" s="5" t="s">
        <v>4812</v>
      </c>
      <c r="G494" s="5" t="s">
        <v>3878</v>
      </c>
      <c r="I494" s="6">
        <v>86</v>
      </c>
    </row>
    <row r="495" spans="1:9" x14ac:dyDescent="0.25">
      <c r="A495" t="s">
        <v>949</v>
      </c>
      <c r="B495" s="9">
        <v>0</v>
      </c>
      <c r="C495">
        <v>150</v>
      </c>
      <c r="D495" s="9" t="s">
        <v>950</v>
      </c>
      <c r="F495" s="5" t="s">
        <v>4813</v>
      </c>
      <c r="G495" s="5" t="s">
        <v>3878</v>
      </c>
      <c r="I495" s="6"/>
    </row>
    <row r="496" spans="1:9" x14ac:dyDescent="0.25">
      <c r="A496" t="s">
        <v>951</v>
      </c>
      <c r="B496" s="9">
        <v>0</v>
      </c>
      <c r="C496">
        <v>150</v>
      </c>
      <c r="D496" s="9" t="s">
        <v>6896</v>
      </c>
      <c r="F496" s="5" t="s">
        <v>4814</v>
      </c>
      <c r="G496" s="5" t="s">
        <v>3920</v>
      </c>
      <c r="I496" s="6"/>
    </row>
    <row r="497" spans="1:9" x14ac:dyDescent="0.25">
      <c r="A497" t="s">
        <v>952</v>
      </c>
      <c r="B497" s="9">
        <v>0</v>
      </c>
      <c r="C497">
        <v>150</v>
      </c>
      <c r="D497" s="9" t="s">
        <v>953</v>
      </c>
      <c r="F497" s="5" t="s">
        <v>4815</v>
      </c>
      <c r="G497" s="5" t="s">
        <v>3878</v>
      </c>
      <c r="I497" s="6"/>
    </row>
    <row r="498" spans="1:9" x14ac:dyDescent="0.25">
      <c r="A498" t="s">
        <v>954</v>
      </c>
      <c r="B498" s="9">
        <v>0</v>
      </c>
      <c r="C498">
        <v>150</v>
      </c>
      <c r="D498" s="9" t="s">
        <v>6897</v>
      </c>
      <c r="F498" s="5" t="s">
        <v>4816</v>
      </c>
      <c r="G498" s="5" t="s">
        <v>3977</v>
      </c>
      <c r="H498" s="5" t="s">
        <v>4817</v>
      </c>
      <c r="I498" s="6"/>
    </row>
    <row r="499" spans="1:9" x14ac:dyDescent="0.25">
      <c r="A499" t="s">
        <v>955</v>
      </c>
      <c r="B499" s="9">
        <v>0</v>
      </c>
      <c r="C499">
        <v>150</v>
      </c>
      <c r="D499" s="9" t="s">
        <v>956</v>
      </c>
      <c r="F499" s="5" t="s">
        <v>4818</v>
      </c>
      <c r="G499" s="5" t="s">
        <v>3878</v>
      </c>
      <c r="I499" s="6"/>
    </row>
    <row r="500" spans="1:9" x14ac:dyDescent="0.25">
      <c r="A500" t="s">
        <v>957</v>
      </c>
      <c r="B500" s="9">
        <v>0</v>
      </c>
      <c r="C500">
        <v>150</v>
      </c>
      <c r="D500" s="9" t="s">
        <v>958</v>
      </c>
      <c r="F500" s="5" t="s">
        <v>4819</v>
      </c>
      <c r="G500" s="5" t="s">
        <v>3870</v>
      </c>
      <c r="H500" s="5" t="s">
        <v>4820</v>
      </c>
      <c r="I500" s="6">
        <v>31</v>
      </c>
    </row>
    <row r="501" spans="1:9" x14ac:dyDescent="0.25">
      <c r="A501" t="s">
        <v>959</v>
      </c>
      <c r="B501" s="9">
        <v>0</v>
      </c>
      <c r="C501">
        <v>150</v>
      </c>
      <c r="D501" s="9" t="s">
        <v>6898</v>
      </c>
      <c r="F501" s="5" t="s">
        <v>4821</v>
      </c>
      <c r="G501" s="5" t="s">
        <v>3878</v>
      </c>
      <c r="I501" s="6"/>
    </row>
    <row r="502" spans="1:9" x14ac:dyDescent="0.25">
      <c r="A502" t="s">
        <v>960</v>
      </c>
      <c r="B502" s="9">
        <v>0</v>
      </c>
      <c r="C502">
        <v>150</v>
      </c>
      <c r="D502" s="9" t="s">
        <v>961</v>
      </c>
      <c r="F502" s="5" t="s">
        <v>4822</v>
      </c>
      <c r="G502" s="5" t="s">
        <v>3878</v>
      </c>
      <c r="I502" s="6"/>
    </row>
    <row r="503" spans="1:9" x14ac:dyDescent="0.25">
      <c r="A503" t="s">
        <v>962</v>
      </c>
      <c r="B503" s="9">
        <v>0</v>
      </c>
      <c r="C503">
        <v>150</v>
      </c>
      <c r="D503" s="9" t="s">
        <v>6899</v>
      </c>
      <c r="F503" s="5" t="s">
        <v>4824</v>
      </c>
      <c r="G503" s="5" t="s">
        <v>3894</v>
      </c>
      <c r="H503" s="5" t="s">
        <v>4825</v>
      </c>
      <c r="I503" s="6"/>
    </row>
    <row r="504" spans="1:9" x14ac:dyDescent="0.25">
      <c r="A504" t="s">
        <v>963</v>
      </c>
      <c r="B504" s="9">
        <v>0</v>
      </c>
      <c r="C504">
        <v>150</v>
      </c>
      <c r="D504" s="9" t="s">
        <v>964</v>
      </c>
      <c r="F504" s="5" t="s">
        <v>4826</v>
      </c>
      <c r="G504" s="5" t="s">
        <v>3894</v>
      </c>
      <c r="H504" s="5" t="s">
        <v>4827</v>
      </c>
      <c r="I504" s="6"/>
    </row>
    <row r="505" spans="1:9" x14ac:dyDescent="0.25">
      <c r="A505" t="s">
        <v>965</v>
      </c>
      <c r="B505" s="9">
        <v>-150</v>
      </c>
      <c r="C505">
        <v>150</v>
      </c>
      <c r="D505" s="9" t="s">
        <v>966</v>
      </c>
      <c r="F505" s="5" t="s">
        <v>4828</v>
      </c>
      <c r="G505" s="5" t="s">
        <v>3977</v>
      </c>
      <c r="H505" s="5" t="s">
        <v>4829</v>
      </c>
      <c r="I505" s="6"/>
    </row>
    <row r="506" spans="1:9" x14ac:dyDescent="0.25">
      <c r="A506" t="s">
        <v>967</v>
      </c>
      <c r="B506" s="9">
        <v>0</v>
      </c>
      <c r="C506">
        <v>150</v>
      </c>
      <c r="D506" s="9" t="s">
        <v>6900</v>
      </c>
      <c r="F506" s="5" t="s">
        <v>4830</v>
      </c>
      <c r="G506" s="5" t="s">
        <v>3878</v>
      </c>
      <c r="H506" s="5" t="s">
        <v>4831</v>
      </c>
      <c r="I506" s="6"/>
    </row>
    <row r="507" spans="1:9" x14ac:dyDescent="0.25">
      <c r="A507" t="s">
        <v>968</v>
      </c>
      <c r="B507" s="9">
        <v>0</v>
      </c>
      <c r="C507">
        <v>150</v>
      </c>
      <c r="D507" s="9" t="s">
        <v>969</v>
      </c>
      <c r="F507" s="5" t="s">
        <v>4832</v>
      </c>
      <c r="G507" s="5" t="s">
        <v>3894</v>
      </c>
      <c r="H507" s="5" t="s">
        <v>4833</v>
      </c>
      <c r="I507" s="6"/>
    </row>
    <row r="508" spans="1:9" x14ac:dyDescent="0.25">
      <c r="A508" t="s">
        <v>970</v>
      </c>
      <c r="B508" s="9">
        <v>0</v>
      </c>
      <c r="C508">
        <v>150</v>
      </c>
      <c r="D508" s="9" t="s">
        <v>971</v>
      </c>
      <c r="F508" s="5" t="s">
        <v>4834</v>
      </c>
      <c r="G508" s="5" t="s">
        <v>3894</v>
      </c>
      <c r="H508" s="5" t="s">
        <v>4835</v>
      </c>
      <c r="I508" s="6"/>
    </row>
    <row r="509" spans="1:9" x14ac:dyDescent="0.25">
      <c r="A509" t="s">
        <v>972</v>
      </c>
      <c r="B509" s="9">
        <v>0</v>
      </c>
      <c r="C509">
        <v>150</v>
      </c>
      <c r="D509" s="9" t="s">
        <v>973</v>
      </c>
      <c r="F509" s="5" t="s">
        <v>4836</v>
      </c>
      <c r="G509" s="5" t="s">
        <v>3870</v>
      </c>
      <c r="H509" s="5" t="s">
        <v>4837</v>
      </c>
      <c r="I509" s="6" t="s">
        <v>4838</v>
      </c>
    </row>
    <row r="510" spans="1:9" x14ac:dyDescent="0.25">
      <c r="A510" t="s">
        <v>974</v>
      </c>
      <c r="B510" s="9">
        <v>0</v>
      </c>
      <c r="C510">
        <v>150</v>
      </c>
      <c r="D510" s="9" t="s">
        <v>975</v>
      </c>
      <c r="F510" s="5" t="s">
        <v>4839</v>
      </c>
      <c r="G510" s="5" t="s">
        <v>3878</v>
      </c>
      <c r="H510" s="5" t="s">
        <v>4840</v>
      </c>
      <c r="I510" s="6"/>
    </row>
    <row r="511" spans="1:9" x14ac:dyDescent="0.25">
      <c r="A511" t="s">
        <v>976</v>
      </c>
      <c r="B511" s="9">
        <v>0</v>
      </c>
      <c r="C511">
        <v>150</v>
      </c>
      <c r="D511" s="9" t="s">
        <v>977</v>
      </c>
      <c r="F511" s="5" t="s">
        <v>4841</v>
      </c>
      <c r="G511" s="5" t="s">
        <v>3884</v>
      </c>
      <c r="H511" s="5" t="s">
        <v>4842</v>
      </c>
      <c r="I511" s="6"/>
    </row>
    <row r="512" spans="1:9" x14ac:dyDescent="0.25">
      <c r="A512" t="s">
        <v>978</v>
      </c>
      <c r="B512" s="9">
        <v>0</v>
      </c>
      <c r="C512">
        <v>150</v>
      </c>
      <c r="D512" s="9" t="s">
        <v>979</v>
      </c>
      <c r="F512" s="5" t="s">
        <v>4843</v>
      </c>
      <c r="G512" s="5" t="s">
        <v>3884</v>
      </c>
      <c r="H512" s="5" t="s">
        <v>4844</v>
      </c>
      <c r="I512" s="6">
        <v>62</v>
      </c>
    </row>
    <row r="513" spans="1:9" x14ac:dyDescent="0.25">
      <c r="A513" t="s">
        <v>980</v>
      </c>
      <c r="B513" s="9">
        <v>0</v>
      </c>
      <c r="C513">
        <v>150</v>
      </c>
      <c r="D513" s="9" t="s">
        <v>981</v>
      </c>
      <c r="F513" s="5" t="s">
        <v>4845</v>
      </c>
      <c r="G513" s="5" t="s">
        <v>3974</v>
      </c>
      <c r="H513" s="5" t="s">
        <v>4846</v>
      </c>
      <c r="I513" s="6"/>
    </row>
    <row r="514" spans="1:9" x14ac:dyDescent="0.25">
      <c r="A514" t="s">
        <v>982</v>
      </c>
      <c r="B514" s="9">
        <v>0</v>
      </c>
      <c r="C514">
        <v>150</v>
      </c>
      <c r="D514" s="9" t="s">
        <v>983</v>
      </c>
      <c r="F514" s="5" t="s">
        <v>4847</v>
      </c>
      <c r="G514" s="5" t="s">
        <v>3901</v>
      </c>
      <c r="I514" s="6"/>
    </row>
    <row r="515" spans="1:9" x14ac:dyDescent="0.25">
      <c r="A515" t="s">
        <v>984</v>
      </c>
      <c r="B515" s="9">
        <v>0</v>
      </c>
      <c r="C515">
        <v>150</v>
      </c>
      <c r="D515" s="9" t="s">
        <v>6901</v>
      </c>
      <c r="F515" s="5" t="s">
        <v>4848</v>
      </c>
      <c r="G515" s="5" t="s">
        <v>4291</v>
      </c>
      <c r="I515" s="6"/>
    </row>
    <row r="516" spans="1:9" x14ac:dyDescent="0.25">
      <c r="A516" t="s">
        <v>985</v>
      </c>
      <c r="B516" s="10">
        <v>-150</v>
      </c>
      <c r="C516">
        <v>150</v>
      </c>
      <c r="D516" s="9" t="s">
        <v>986</v>
      </c>
      <c r="F516" s="5" t="s">
        <v>4849</v>
      </c>
      <c r="G516" s="5" t="s">
        <v>3878</v>
      </c>
      <c r="H516" s="5" t="s">
        <v>4850</v>
      </c>
      <c r="I516" s="6">
        <v>124</v>
      </c>
    </row>
    <row r="517" spans="1:9" x14ac:dyDescent="0.25">
      <c r="A517" t="s">
        <v>987</v>
      </c>
      <c r="B517" s="9">
        <v>0</v>
      </c>
      <c r="C517">
        <v>150</v>
      </c>
      <c r="D517" s="9" t="s">
        <v>6902</v>
      </c>
      <c r="F517" s="5" t="s">
        <v>4851</v>
      </c>
      <c r="G517" s="5" t="s">
        <v>3878</v>
      </c>
      <c r="I517" s="6"/>
    </row>
    <row r="518" spans="1:9" x14ac:dyDescent="0.25">
      <c r="A518" t="s">
        <v>988</v>
      </c>
      <c r="B518" s="9">
        <v>0</v>
      </c>
      <c r="C518">
        <v>150</v>
      </c>
      <c r="D518" s="9" t="s">
        <v>989</v>
      </c>
      <c r="F518" s="5" t="s">
        <v>4852</v>
      </c>
      <c r="G518" s="5" t="s">
        <v>3878</v>
      </c>
      <c r="I518" s="6"/>
    </row>
    <row r="519" spans="1:9" x14ac:dyDescent="0.25">
      <c r="A519" t="s">
        <v>990</v>
      </c>
      <c r="B519" s="9">
        <v>0</v>
      </c>
      <c r="C519">
        <v>150</v>
      </c>
      <c r="D519" s="9" t="s">
        <v>991</v>
      </c>
      <c r="F519" s="5" t="s">
        <v>4853</v>
      </c>
      <c r="G519" s="5" t="s">
        <v>3870</v>
      </c>
      <c r="H519" s="5" t="s">
        <v>4854</v>
      </c>
      <c r="I519" s="6">
        <v>25</v>
      </c>
    </row>
    <row r="520" spans="1:9" x14ac:dyDescent="0.25">
      <c r="A520" t="s">
        <v>992</v>
      </c>
      <c r="B520" s="9">
        <v>-150</v>
      </c>
      <c r="C520">
        <v>150</v>
      </c>
      <c r="D520" s="9" t="s">
        <v>993</v>
      </c>
      <c r="F520" s="5" t="s">
        <v>4855</v>
      </c>
      <c r="G520" s="5" t="s">
        <v>3884</v>
      </c>
      <c r="H520" s="5" t="s">
        <v>4856</v>
      </c>
      <c r="I520" s="6"/>
    </row>
    <row r="521" spans="1:9" x14ac:dyDescent="0.25">
      <c r="A521" t="s">
        <v>994</v>
      </c>
      <c r="B521" s="9">
        <v>-150</v>
      </c>
      <c r="C521">
        <v>150</v>
      </c>
      <c r="D521" s="9" t="s">
        <v>995</v>
      </c>
      <c r="F521" s="5" t="s">
        <v>4857</v>
      </c>
      <c r="G521" s="5" t="s">
        <v>3878</v>
      </c>
      <c r="I521" s="6"/>
    </row>
    <row r="522" spans="1:9" x14ac:dyDescent="0.25">
      <c r="A522" t="s">
        <v>996</v>
      </c>
      <c r="B522" s="9">
        <v>0</v>
      </c>
      <c r="C522">
        <v>150</v>
      </c>
      <c r="D522" s="9" t="s">
        <v>997</v>
      </c>
      <c r="F522" s="5" t="s">
        <v>4858</v>
      </c>
      <c r="G522" s="5" t="s">
        <v>4291</v>
      </c>
      <c r="H522" s="5" t="s">
        <v>4859</v>
      </c>
      <c r="I522" s="6"/>
    </row>
    <row r="523" spans="1:9" x14ac:dyDescent="0.25">
      <c r="A523" t="s">
        <v>998</v>
      </c>
      <c r="B523" s="9">
        <v>0</v>
      </c>
      <c r="C523">
        <v>150</v>
      </c>
      <c r="D523" s="9" t="s">
        <v>999</v>
      </c>
      <c r="F523" s="5" t="s">
        <v>4860</v>
      </c>
      <c r="G523" s="5" t="s">
        <v>3870</v>
      </c>
      <c r="H523" s="5" t="s">
        <v>4859</v>
      </c>
      <c r="I523" s="6"/>
    </row>
    <row r="524" spans="1:9" x14ac:dyDescent="0.25">
      <c r="A524" t="s">
        <v>1000</v>
      </c>
      <c r="B524" s="9">
        <v>0</v>
      </c>
      <c r="C524">
        <v>150</v>
      </c>
      <c r="D524" s="9" t="s">
        <v>1001</v>
      </c>
      <c r="F524" s="5" t="s">
        <v>4861</v>
      </c>
      <c r="G524" s="5" t="s">
        <v>3922</v>
      </c>
      <c r="H524" s="5" t="s">
        <v>3957</v>
      </c>
      <c r="I524" s="6"/>
    </row>
    <row r="525" spans="1:9" x14ac:dyDescent="0.25">
      <c r="A525" t="s">
        <v>1002</v>
      </c>
      <c r="B525" s="9">
        <v>-150</v>
      </c>
      <c r="C525">
        <v>150</v>
      </c>
      <c r="D525" s="9" t="s">
        <v>1003</v>
      </c>
      <c r="F525" s="5" t="s">
        <v>4862</v>
      </c>
      <c r="G525" s="5" t="s">
        <v>3884</v>
      </c>
      <c r="H525" s="5" t="s">
        <v>4863</v>
      </c>
      <c r="I525" s="6"/>
    </row>
    <row r="526" spans="1:9" x14ac:dyDescent="0.25">
      <c r="A526" t="s">
        <v>1004</v>
      </c>
      <c r="B526" s="9">
        <v>0</v>
      </c>
      <c r="C526">
        <v>150</v>
      </c>
      <c r="D526" s="9" t="s">
        <v>1005</v>
      </c>
      <c r="F526" s="5" t="s">
        <v>4864</v>
      </c>
      <c r="G526" s="5" t="s">
        <v>4392</v>
      </c>
      <c r="H526" s="5" t="s">
        <v>4865</v>
      </c>
      <c r="I526" s="6"/>
    </row>
    <row r="527" spans="1:9" x14ac:dyDescent="0.25">
      <c r="A527" t="s">
        <v>1006</v>
      </c>
      <c r="B527" s="9">
        <v>-150</v>
      </c>
      <c r="C527">
        <v>150</v>
      </c>
      <c r="D527" s="9" t="s">
        <v>1007</v>
      </c>
      <c r="F527" s="5" t="s">
        <v>4866</v>
      </c>
      <c r="G527" s="5" t="s">
        <v>4291</v>
      </c>
      <c r="H527" s="5" t="s">
        <v>4867</v>
      </c>
      <c r="I527" s="6"/>
    </row>
    <row r="528" spans="1:9" x14ac:dyDescent="0.25">
      <c r="A528" t="s">
        <v>1008</v>
      </c>
      <c r="B528" s="9">
        <v>-150</v>
      </c>
      <c r="C528">
        <v>150</v>
      </c>
      <c r="D528" s="9" t="s">
        <v>1009</v>
      </c>
      <c r="F528" s="5" t="s">
        <v>4868</v>
      </c>
      <c r="G528" s="5" t="s">
        <v>4291</v>
      </c>
      <c r="H528" s="5" t="s">
        <v>4869</v>
      </c>
      <c r="I528" s="6"/>
    </row>
    <row r="529" spans="1:9" x14ac:dyDescent="0.25">
      <c r="A529" t="s">
        <v>1010</v>
      </c>
      <c r="B529" s="9">
        <v>0</v>
      </c>
      <c r="C529">
        <v>150</v>
      </c>
      <c r="D529" s="9" t="s">
        <v>1011</v>
      </c>
      <c r="F529" s="5" t="s">
        <v>4870</v>
      </c>
      <c r="G529" s="5" t="s">
        <v>4284</v>
      </c>
      <c r="H529" s="5" t="s">
        <v>4871</v>
      </c>
      <c r="I529" s="6"/>
    </row>
    <row r="530" spans="1:9" x14ac:dyDescent="0.25">
      <c r="A530" t="s">
        <v>1012</v>
      </c>
      <c r="B530" s="9">
        <v>0</v>
      </c>
      <c r="C530">
        <v>150</v>
      </c>
      <c r="D530" s="9" t="s">
        <v>1013</v>
      </c>
      <c r="F530" s="5" t="s">
        <v>4872</v>
      </c>
      <c r="G530" s="5" t="s">
        <v>3870</v>
      </c>
      <c r="H530" s="5" t="s">
        <v>4873</v>
      </c>
      <c r="I530" s="6" t="s">
        <v>4874</v>
      </c>
    </row>
    <row r="531" spans="1:9" x14ac:dyDescent="0.25">
      <c r="A531" t="s">
        <v>1014</v>
      </c>
      <c r="B531" s="9">
        <v>-150</v>
      </c>
      <c r="C531">
        <v>150</v>
      </c>
      <c r="D531" s="9" t="s">
        <v>1015</v>
      </c>
      <c r="F531" s="5" t="s">
        <v>4875</v>
      </c>
      <c r="G531" s="5" t="s">
        <v>4291</v>
      </c>
      <c r="H531" s="5" t="s">
        <v>4876</v>
      </c>
      <c r="I531" s="6">
        <v>34</v>
      </c>
    </row>
    <row r="532" spans="1:9" x14ac:dyDescent="0.25">
      <c r="A532" t="s">
        <v>1016</v>
      </c>
      <c r="B532" s="9">
        <v>-150</v>
      </c>
      <c r="C532">
        <v>150</v>
      </c>
      <c r="D532" s="9" t="s">
        <v>1017</v>
      </c>
      <c r="F532" s="5" t="s">
        <v>4877</v>
      </c>
      <c r="G532" s="5" t="s">
        <v>3870</v>
      </c>
      <c r="H532" s="5" t="s">
        <v>4878</v>
      </c>
      <c r="I532" s="6"/>
    </row>
    <row r="533" spans="1:9" x14ac:dyDescent="0.25">
      <c r="A533" t="s">
        <v>1018</v>
      </c>
      <c r="B533" s="9">
        <v>0</v>
      </c>
      <c r="C533">
        <v>150</v>
      </c>
      <c r="D533" s="9" t="s">
        <v>1019</v>
      </c>
      <c r="F533" s="5" t="s">
        <v>4879</v>
      </c>
      <c r="G533" s="5" t="s">
        <v>3901</v>
      </c>
      <c r="H533" s="5" t="s">
        <v>4880</v>
      </c>
      <c r="I533" s="6"/>
    </row>
    <row r="534" spans="1:9" x14ac:dyDescent="0.25">
      <c r="A534" t="s">
        <v>1020</v>
      </c>
      <c r="B534" s="9">
        <v>-150</v>
      </c>
      <c r="C534">
        <v>150</v>
      </c>
      <c r="D534" s="9" t="s">
        <v>1021</v>
      </c>
      <c r="F534" s="5" t="s">
        <v>4881</v>
      </c>
      <c r="G534" s="5" t="s">
        <v>3901</v>
      </c>
      <c r="H534" s="5" t="s">
        <v>4882</v>
      </c>
      <c r="I534" s="6"/>
    </row>
    <row r="535" spans="1:9" x14ac:dyDescent="0.25">
      <c r="A535" t="s">
        <v>1022</v>
      </c>
      <c r="B535" s="9">
        <v>-150</v>
      </c>
      <c r="C535">
        <v>150</v>
      </c>
      <c r="D535" s="9" t="s">
        <v>1023</v>
      </c>
      <c r="F535" s="5" t="s">
        <v>4884</v>
      </c>
      <c r="G535" s="5" t="s">
        <v>4043</v>
      </c>
      <c r="H535" s="5" t="s">
        <v>4885</v>
      </c>
      <c r="I535" s="6">
        <v>138</v>
      </c>
    </row>
    <row r="536" spans="1:9" x14ac:dyDescent="0.25">
      <c r="A536" t="s">
        <v>1024</v>
      </c>
      <c r="B536" s="9">
        <v>0</v>
      </c>
      <c r="C536">
        <v>150</v>
      </c>
      <c r="D536" s="9" t="s">
        <v>1025</v>
      </c>
      <c r="F536" s="5" t="s">
        <v>4888</v>
      </c>
      <c r="G536" s="5" t="s">
        <v>3884</v>
      </c>
      <c r="I536" s="6">
        <v>96</v>
      </c>
    </row>
    <row r="537" spans="1:9" x14ac:dyDescent="0.25">
      <c r="A537" t="s">
        <v>1026</v>
      </c>
      <c r="B537" s="9">
        <v>0</v>
      </c>
      <c r="C537">
        <v>150</v>
      </c>
      <c r="D537" s="9" t="s">
        <v>1027</v>
      </c>
      <c r="F537" s="5" t="s">
        <v>4889</v>
      </c>
      <c r="G537" s="5" t="s">
        <v>3884</v>
      </c>
      <c r="I537" s="6" t="s">
        <v>4890</v>
      </c>
    </row>
    <row r="538" spans="1:9" x14ac:dyDescent="0.25">
      <c r="A538" t="s">
        <v>1028</v>
      </c>
      <c r="B538" s="9">
        <v>0</v>
      </c>
      <c r="C538">
        <v>150</v>
      </c>
      <c r="D538" s="9" t="s">
        <v>1029</v>
      </c>
      <c r="F538" s="5" t="s">
        <v>4891</v>
      </c>
      <c r="G538" s="5" t="s">
        <v>3884</v>
      </c>
      <c r="I538" s="6">
        <v>74</v>
      </c>
    </row>
    <row r="539" spans="1:9" x14ac:dyDescent="0.25">
      <c r="A539" t="s">
        <v>1030</v>
      </c>
      <c r="B539" s="9">
        <v>-150</v>
      </c>
      <c r="C539">
        <v>150</v>
      </c>
      <c r="D539" s="9" t="s">
        <v>1031</v>
      </c>
      <c r="F539" s="5" t="s">
        <v>4892</v>
      </c>
      <c r="G539" s="5" t="s">
        <v>3870</v>
      </c>
      <c r="H539" s="5" t="s">
        <v>4893</v>
      </c>
      <c r="I539" s="6"/>
    </row>
    <row r="540" spans="1:9" x14ac:dyDescent="0.25">
      <c r="A540" t="s">
        <v>1032</v>
      </c>
      <c r="B540" s="9">
        <v>0</v>
      </c>
      <c r="C540">
        <v>150</v>
      </c>
      <c r="D540" s="9" t="s">
        <v>1033</v>
      </c>
      <c r="F540" s="5" t="s">
        <v>4894</v>
      </c>
      <c r="G540" s="5" t="s">
        <v>3878</v>
      </c>
      <c r="I540" s="6"/>
    </row>
    <row r="541" spans="1:9" x14ac:dyDescent="0.25">
      <c r="A541" t="s">
        <v>1034</v>
      </c>
      <c r="B541" s="9">
        <v>0</v>
      </c>
      <c r="C541">
        <v>150</v>
      </c>
      <c r="D541" s="9" t="s">
        <v>1035</v>
      </c>
      <c r="F541" s="5" t="s">
        <v>4895</v>
      </c>
      <c r="G541" s="5" t="s">
        <v>3878</v>
      </c>
      <c r="H541" s="5" t="s">
        <v>4896</v>
      </c>
      <c r="I541" s="6"/>
    </row>
    <row r="542" spans="1:9" x14ac:dyDescent="0.25">
      <c r="A542" t="s">
        <v>1036</v>
      </c>
      <c r="B542" s="9">
        <v>0</v>
      </c>
      <c r="C542">
        <v>150</v>
      </c>
      <c r="D542" s="9" t="s">
        <v>1037</v>
      </c>
      <c r="F542" s="5" t="s">
        <v>4897</v>
      </c>
      <c r="G542" s="5" t="s">
        <v>3878</v>
      </c>
      <c r="H542" s="5" t="s">
        <v>4898</v>
      </c>
      <c r="I542" s="6"/>
    </row>
    <row r="543" spans="1:9" x14ac:dyDescent="0.25">
      <c r="A543" t="s">
        <v>1038</v>
      </c>
      <c r="B543" s="9">
        <v>0</v>
      </c>
      <c r="C543">
        <v>150</v>
      </c>
      <c r="D543" s="9" t="s">
        <v>6903</v>
      </c>
      <c r="F543" s="5" t="s">
        <v>4900</v>
      </c>
      <c r="G543" s="5" t="s">
        <v>4097</v>
      </c>
      <c r="H543" s="5" t="s">
        <v>4901</v>
      </c>
      <c r="I543" s="6"/>
    </row>
    <row r="544" spans="1:9" x14ac:dyDescent="0.25">
      <c r="A544" s="1" t="s">
        <v>3027</v>
      </c>
      <c r="B544" s="9">
        <v>0</v>
      </c>
      <c r="C544">
        <v>150</v>
      </c>
      <c r="D544" s="9" t="s">
        <v>1040</v>
      </c>
      <c r="F544" s="5" t="s">
        <v>4902</v>
      </c>
      <c r="G544" s="5" t="s">
        <v>4562</v>
      </c>
      <c r="H544" s="5" t="s">
        <v>4903</v>
      </c>
      <c r="I544" s="6"/>
    </row>
    <row r="545" spans="1:9" x14ac:dyDescent="0.25">
      <c r="A545" t="s">
        <v>1041</v>
      </c>
      <c r="B545" s="9">
        <v>-150</v>
      </c>
      <c r="C545">
        <v>150</v>
      </c>
      <c r="D545" s="9" t="s">
        <v>1042</v>
      </c>
      <c r="F545" s="5" t="s">
        <v>4904</v>
      </c>
      <c r="G545" s="5" t="s">
        <v>3870</v>
      </c>
      <c r="I545" s="6">
        <v>47</v>
      </c>
    </row>
    <row r="546" spans="1:9" x14ac:dyDescent="0.25">
      <c r="A546" t="s">
        <v>1043</v>
      </c>
      <c r="B546" s="9">
        <v>0</v>
      </c>
      <c r="C546">
        <v>150</v>
      </c>
      <c r="D546" s="9" t="s">
        <v>1044</v>
      </c>
      <c r="F546" s="5" t="s">
        <v>4905</v>
      </c>
      <c r="G546" s="5" t="s">
        <v>3878</v>
      </c>
      <c r="H546" s="5" t="s">
        <v>4906</v>
      </c>
      <c r="I546" s="6"/>
    </row>
    <row r="547" spans="1:9" x14ac:dyDescent="0.25">
      <c r="A547" t="s">
        <v>1045</v>
      </c>
      <c r="B547" s="9">
        <v>0</v>
      </c>
      <c r="C547">
        <v>150</v>
      </c>
      <c r="D547" s="9" t="s">
        <v>6904</v>
      </c>
      <c r="F547" s="5" t="s">
        <v>4907</v>
      </c>
      <c r="G547" s="5" t="s">
        <v>4562</v>
      </c>
      <c r="H547" s="5" t="s">
        <v>4908</v>
      </c>
      <c r="I547" s="6"/>
    </row>
    <row r="548" spans="1:9" x14ac:dyDescent="0.25">
      <c r="A548" t="s">
        <v>1046</v>
      </c>
      <c r="B548" s="9">
        <v>0</v>
      </c>
      <c r="C548">
        <v>150</v>
      </c>
      <c r="D548" s="9" t="s">
        <v>6905</v>
      </c>
      <c r="F548" s="5" t="s">
        <v>4909</v>
      </c>
      <c r="G548" s="5" t="s">
        <v>3878</v>
      </c>
      <c r="H548" s="5" t="s">
        <v>4910</v>
      </c>
      <c r="I548" s="6"/>
    </row>
    <row r="549" spans="1:9" x14ac:dyDescent="0.25">
      <c r="A549" t="s">
        <v>1047</v>
      </c>
      <c r="B549" s="9">
        <v>0</v>
      </c>
      <c r="C549">
        <v>150</v>
      </c>
      <c r="D549" s="9" t="s">
        <v>6906</v>
      </c>
      <c r="F549" s="5" t="s">
        <v>4911</v>
      </c>
      <c r="G549" s="5" t="s">
        <v>4562</v>
      </c>
      <c r="H549" s="5" t="s">
        <v>4912</v>
      </c>
      <c r="I549" s="6"/>
    </row>
    <row r="550" spans="1:9" x14ac:dyDescent="0.25">
      <c r="A550" t="s">
        <v>1048</v>
      </c>
      <c r="B550" s="9">
        <v>0</v>
      </c>
      <c r="C550">
        <v>150</v>
      </c>
      <c r="D550" s="9" t="s">
        <v>1049</v>
      </c>
      <c r="F550" s="5" t="s">
        <v>4913</v>
      </c>
      <c r="G550" s="5" t="s">
        <v>3870</v>
      </c>
      <c r="I550" s="6">
        <v>43</v>
      </c>
    </row>
    <row r="551" spans="1:9" x14ac:dyDescent="0.25">
      <c r="A551" t="s">
        <v>1050</v>
      </c>
      <c r="B551" s="9">
        <v>-150</v>
      </c>
      <c r="C551">
        <v>150</v>
      </c>
      <c r="D551" s="9" t="s">
        <v>1051</v>
      </c>
      <c r="F551" s="5" t="s">
        <v>4914</v>
      </c>
      <c r="G551" s="5" t="s">
        <v>3870</v>
      </c>
      <c r="H551" s="5" t="s">
        <v>4915</v>
      </c>
      <c r="I551" s="6"/>
    </row>
    <row r="552" spans="1:9" x14ac:dyDescent="0.25">
      <c r="A552" t="s">
        <v>1052</v>
      </c>
      <c r="B552" s="9">
        <v>-150</v>
      </c>
      <c r="C552">
        <v>150</v>
      </c>
      <c r="D552" s="9" t="s">
        <v>1053</v>
      </c>
      <c r="F552" s="5" t="s">
        <v>4916</v>
      </c>
      <c r="G552" s="5" t="s">
        <v>3870</v>
      </c>
      <c r="H552" s="5" t="s">
        <v>4915</v>
      </c>
      <c r="I552" s="6"/>
    </row>
    <row r="553" spans="1:9" x14ac:dyDescent="0.25">
      <c r="A553" t="s">
        <v>1054</v>
      </c>
      <c r="B553" s="9">
        <v>0</v>
      </c>
      <c r="C553">
        <v>150</v>
      </c>
      <c r="D553" s="9" t="s">
        <v>1055</v>
      </c>
      <c r="F553" s="5" t="s">
        <v>4917</v>
      </c>
      <c r="G553" s="5" t="s">
        <v>3878</v>
      </c>
      <c r="H553" s="5" t="s">
        <v>4918</v>
      </c>
      <c r="I553" s="6"/>
    </row>
    <row r="554" spans="1:9" x14ac:dyDescent="0.25">
      <c r="A554" t="s">
        <v>1056</v>
      </c>
      <c r="B554" s="9">
        <v>0</v>
      </c>
      <c r="C554">
        <v>150</v>
      </c>
      <c r="D554" s="9" t="s">
        <v>6907</v>
      </c>
      <c r="F554" s="5" t="s">
        <v>4919</v>
      </c>
      <c r="G554" s="5" t="s">
        <v>4043</v>
      </c>
      <c r="H554" s="5" t="s">
        <v>4920</v>
      </c>
      <c r="I554" s="6"/>
    </row>
    <row r="555" spans="1:9" x14ac:dyDescent="0.25">
      <c r="A555" t="s">
        <v>1057</v>
      </c>
      <c r="B555" s="9">
        <v>0</v>
      </c>
      <c r="C555">
        <v>150</v>
      </c>
      <c r="D555" s="9" t="s">
        <v>6908</v>
      </c>
      <c r="F555" s="5" t="s">
        <v>4921</v>
      </c>
      <c r="G555" s="5" t="s">
        <v>4043</v>
      </c>
      <c r="H555" s="5" t="s">
        <v>4922</v>
      </c>
      <c r="I555" s="6"/>
    </row>
    <row r="556" spans="1:9" x14ac:dyDescent="0.25">
      <c r="A556" t="s">
        <v>1058</v>
      </c>
      <c r="B556" s="9">
        <v>0</v>
      </c>
      <c r="C556">
        <v>150</v>
      </c>
      <c r="D556" s="9" t="s">
        <v>1059</v>
      </c>
      <c r="F556" s="5" t="s">
        <v>4923</v>
      </c>
      <c r="G556" s="5" t="s">
        <v>3878</v>
      </c>
      <c r="H556" s="5" t="s">
        <v>4924</v>
      </c>
      <c r="I556" s="6"/>
    </row>
    <row r="557" spans="1:9" x14ac:dyDescent="0.25">
      <c r="A557" t="s">
        <v>1060</v>
      </c>
      <c r="B557" s="9">
        <v>0</v>
      </c>
      <c r="C557">
        <v>150</v>
      </c>
      <c r="D557" s="9" t="s">
        <v>1061</v>
      </c>
      <c r="F557" s="5" t="s">
        <v>4925</v>
      </c>
      <c r="G557" s="5" t="s">
        <v>3870</v>
      </c>
      <c r="I557" s="6">
        <v>24</v>
      </c>
    </row>
    <row r="558" spans="1:9" x14ac:dyDescent="0.25">
      <c r="A558" t="s">
        <v>1062</v>
      </c>
      <c r="B558" s="9">
        <v>0</v>
      </c>
      <c r="C558">
        <v>150</v>
      </c>
      <c r="D558" s="9" t="s">
        <v>1063</v>
      </c>
      <c r="F558" s="5" t="s">
        <v>4927</v>
      </c>
      <c r="G558" s="5" t="s">
        <v>4291</v>
      </c>
      <c r="H558" s="5" t="s">
        <v>4928</v>
      </c>
      <c r="I558" s="6"/>
    </row>
    <row r="559" spans="1:9" x14ac:dyDescent="0.25">
      <c r="A559" t="s">
        <v>1064</v>
      </c>
      <c r="B559" s="9">
        <v>0</v>
      </c>
      <c r="C559">
        <v>150</v>
      </c>
      <c r="D559" s="9" t="s">
        <v>1065</v>
      </c>
      <c r="F559" s="5" t="s">
        <v>4929</v>
      </c>
      <c r="G559" s="5" t="s">
        <v>3884</v>
      </c>
      <c r="I559" s="6">
        <v>62</v>
      </c>
    </row>
    <row r="560" spans="1:9" x14ac:dyDescent="0.25">
      <c r="A560" t="s">
        <v>1066</v>
      </c>
      <c r="B560" s="9">
        <v>-150</v>
      </c>
      <c r="C560">
        <v>150</v>
      </c>
      <c r="D560" s="9" t="s">
        <v>1067</v>
      </c>
      <c r="F560" s="5" t="s">
        <v>4930</v>
      </c>
      <c r="G560" s="5" t="s">
        <v>3977</v>
      </c>
      <c r="H560" s="5" t="s">
        <v>4931</v>
      </c>
      <c r="I560" s="6"/>
    </row>
    <row r="561" spans="1:9" x14ac:dyDescent="0.25">
      <c r="A561" t="s">
        <v>1068</v>
      </c>
      <c r="B561" s="9">
        <v>0</v>
      </c>
      <c r="C561">
        <v>150</v>
      </c>
      <c r="D561" s="9" t="s">
        <v>1069</v>
      </c>
      <c r="F561" s="5" t="s">
        <v>4932</v>
      </c>
      <c r="G561" s="5" t="s">
        <v>4043</v>
      </c>
      <c r="H561" s="5" t="s">
        <v>4933</v>
      </c>
      <c r="I561" s="6"/>
    </row>
    <row r="562" spans="1:9" x14ac:dyDescent="0.25">
      <c r="A562" t="s">
        <v>1070</v>
      </c>
      <c r="B562" s="9">
        <v>0</v>
      </c>
      <c r="C562">
        <v>150</v>
      </c>
      <c r="D562" s="9" t="s">
        <v>1071</v>
      </c>
      <c r="F562" s="5" t="s">
        <v>4934</v>
      </c>
      <c r="G562" s="5" t="s">
        <v>3977</v>
      </c>
      <c r="H562" s="5" t="s">
        <v>4935</v>
      </c>
      <c r="I562" s="6"/>
    </row>
    <row r="563" spans="1:9" x14ac:dyDescent="0.25">
      <c r="A563" t="s">
        <v>1072</v>
      </c>
      <c r="B563" s="9">
        <v>0</v>
      </c>
      <c r="C563">
        <v>150</v>
      </c>
      <c r="D563" s="9" t="s">
        <v>1073</v>
      </c>
      <c r="F563" s="5" t="s">
        <v>4936</v>
      </c>
      <c r="G563" s="5" t="s">
        <v>4094</v>
      </c>
      <c r="H563" s="5" t="s">
        <v>4937</v>
      </c>
      <c r="I563" s="6"/>
    </row>
    <row r="564" spans="1:9" x14ac:dyDescent="0.25">
      <c r="A564" t="s">
        <v>1074</v>
      </c>
      <c r="B564" s="10">
        <v>-150</v>
      </c>
      <c r="C564">
        <v>150</v>
      </c>
      <c r="D564" s="9" t="s">
        <v>1075</v>
      </c>
      <c r="F564" s="5" t="s">
        <v>4938</v>
      </c>
      <c r="G564" s="5" t="s">
        <v>3977</v>
      </c>
      <c r="H564" s="5" t="s">
        <v>4939</v>
      </c>
      <c r="I564" s="6"/>
    </row>
    <row r="565" spans="1:9" x14ac:dyDescent="0.25">
      <c r="A565" t="s">
        <v>1076</v>
      </c>
      <c r="B565" s="9">
        <v>0</v>
      </c>
      <c r="C565">
        <v>150</v>
      </c>
      <c r="D565" s="9" t="s">
        <v>1077</v>
      </c>
      <c r="F565" s="5" t="s">
        <v>4940</v>
      </c>
      <c r="G565" s="5" t="s">
        <v>4094</v>
      </c>
      <c r="H565" s="5" t="s">
        <v>4941</v>
      </c>
      <c r="I565" s="6"/>
    </row>
    <row r="566" spans="1:9" x14ac:dyDescent="0.25">
      <c r="A566" t="s">
        <v>1078</v>
      </c>
      <c r="B566" s="9">
        <v>0</v>
      </c>
      <c r="C566">
        <v>150</v>
      </c>
      <c r="D566" s="9" t="s">
        <v>1079</v>
      </c>
      <c r="F566" s="5" t="s">
        <v>4942</v>
      </c>
      <c r="G566" s="5" t="s">
        <v>3977</v>
      </c>
      <c r="H566" s="5" t="s">
        <v>4943</v>
      </c>
      <c r="I566" s="6"/>
    </row>
    <row r="567" spans="1:9" x14ac:dyDescent="0.25">
      <c r="A567" t="s">
        <v>1080</v>
      </c>
      <c r="B567" s="9">
        <v>0</v>
      </c>
      <c r="C567">
        <v>150</v>
      </c>
      <c r="D567" s="9" t="s">
        <v>1081</v>
      </c>
      <c r="F567" s="5" t="s">
        <v>4944</v>
      </c>
      <c r="G567" s="5" t="s">
        <v>4094</v>
      </c>
      <c r="H567" s="5" t="s">
        <v>4945</v>
      </c>
      <c r="I567" s="6"/>
    </row>
    <row r="568" spans="1:9" x14ac:dyDescent="0.25">
      <c r="A568" t="s">
        <v>1082</v>
      </c>
      <c r="B568" s="9">
        <v>0</v>
      </c>
      <c r="C568">
        <v>150</v>
      </c>
      <c r="D568" s="9" t="s">
        <v>1083</v>
      </c>
      <c r="F568" s="5" t="s">
        <v>4947</v>
      </c>
      <c r="G568" s="5" t="s">
        <v>3894</v>
      </c>
      <c r="H568" s="5" t="s">
        <v>4948</v>
      </c>
      <c r="I568" s="6"/>
    </row>
    <row r="569" spans="1:9" x14ac:dyDescent="0.25">
      <c r="A569" t="s">
        <v>1084</v>
      </c>
      <c r="B569" s="9">
        <v>-150</v>
      </c>
      <c r="C569">
        <v>150</v>
      </c>
      <c r="D569" s="9" t="s">
        <v>1085</v>
      </c>
      <c r="F569" s="5" t="s">
        <v>4951</v>
      </c>
      <c r="G569" s="5" t="s">
        <v>4094</v>
      </c>
      <c r="H569" s="5" t="s">
        <v>4952</v>
      </c>
      <c r="I569" s="6"/>
    </row>
    <row r="570" spans="1:9" x14ac:dyDescent="0.25">
      <c r="A570" t="s">
        <v>1086</v>
      </c>
      <c r="B570" s="9">
        <v>-150</v>
      </c>
      <c r="C570">
        <v>150</v>
      </c>
      <c r="D570" s="9" t="s">
        <v>1087</v>
      </c>
      <c r="F570" s="5" t="s">
        <v>4953</v>
      </c>
      <c r="G570" s="5" t="s">
        <v>4043</v>
      </c>
      <c r="H570" s="5" t="s">
        <v>4954</v>
      </c>
      <c r="I570" s="6"/>
    </row>
    <row r="571" spans="1:9" x14ac:dyDescent="0.25">
      <c r="A571" t="s">
        <v>1088</v>
      </c>
      <c r="B571" s="9">
        <v>0</v>
      </c>
      <c r="C571">
        <v>150</v>
      </c>
      <c r="D571" s="9" t="s">
        <v>6909</v>
      </c>
      <c r="F571" s="5" t="s">
        <v>4955</v>
      </c>
      <c r="G571" s="5" t="s">
        <v>3901</v>
      </c>
      <c r="H571" s="5" t="s">
        <v>4956</v>
      </c>
      <c r="I571" s="6"/>
    </row>
    <row r="572" spans="1:9" x14ac:dyDescent="0.25">
      <c r="A572" t="s">
        <v>1089</v>
      </c>
      <c r="B572" s="9">
        <v>0</v>
      </c>
      <c r="C572">
        <v>150</v>
      </c>
      <c r="D572" s="9" t="s">
        <v>1090</v>
      </c>
      <c r="F572" s="5" t="s">
        <v>4957</v>
      </c>
      <c r="G572" s="5" t="s">
        <v>4392</v>
      </c>
      <c r="H572" s="5" t="s">
        <v>4811</v>
      </c>
      <c r="I572" s="6"/>
    </row>
    <row r="573" spans="1:9" x14ac:dyDescent="0.25">
      <c r="A573" t="s">
        <v>1091</v>
      </c>
      <c r="B573" s="9">
        <v>0</v>
      </c>
      <c r="C573">
        <v>150</v>
      </c>
      <c r="D573" s="9" t="s">
        <v>1092</v>
      </c>
      <c r="F573" s="5" t="s">
        <v>4958</v>
      </c>
      <c r="G573" s="5" t="s">
        <v>4392</v>
      </c>
      <c r="H573" s="5" t="s">
        <v>4959</v>
      </c>
      <c r="I573" s="6"/>
    </row>
    <row r="574" spans="1:9" x14ac:dyDescent="0.25">
      <c r="A574" t="s">
        <v>1093</v>
      </c>
      <c r="B574" s="9">
        <v>-150</v>
      </c>
      <c r="C574">
        <v>150</v>
      </c>
      <c r="D574" s="9" t="s">
        <v>1094</v>
      </c>
      <c r="F574" s="5" t="s">
        <v>4960</v>
      </c>
      <c r="G574" s="5" t="s">
        <v>3901</v>
      </c>
      <c r="H574" s="5" t="s">
        <v>4961</v>
      </c>
      <c r="I574" s="6"/>
    </row>
    <row r="575" spans="1:9" x14ac:dyDescent="0.25">
      <c r="A575" t="s">
        <v>1095</v>
      </c>
      <c r="B575" s="9">
        <v>0</v>
      </c>
      <c r="C575">
        <v>150</v>
      </c>
      <c r="D575" s="9" t="s">
        <v>1096</v>
      </c>
      <c r="F575" s="5" t="s">
        <v>4962</v>
      </c>
      <c r="G575" s="5" t="s">
        <v>3870</v>
      </c>
      <c r="I575" s="6">
        <v>47</v>
      </c>
    </row>
    <row r="576" spans="1:9" x14ac:dyDescent="0.25">
      <c r="A576" t="s">
        <v>1097</v>
      </c>
      <c r="B576" s="9">
        <v>-150</v>
      </c>
      <c r="C576">
        <v>150</v>
      </c>
      <c r="D576" s="9" t="s">
        <v>1098</v>
      </c>
      <c r="F576" s="5" t="s">
        <v>4963</v>
      </c>
      <c r="G576" s="5" t="s">
        <v>3922</v>
      </c>
      <c r="H576" s="5" t="s">
        <v>4964</v>
      </c>
      <c r="I576" s="6"/>
    </row>
    <row r="577" spans="1:9" x14ac:dyDescent="0.25">
      <c r="A577" t="s">
        <v>1099</v>
      </c>
      <c r="B577" s="9">
        <v>0</v>
      </c>
      <c r="C577">
        <v>150</v>
      </c>
      <c r="D577" s="9" t="s">
        <v>1100</v>
      </c>
      <c r="F577" s="5" t="s">
        <v>4965</v>
      </c>
      <c r="G577" s="5" t="s">
        <v>3878</v>
      </c>
      <c r="H577" s="5" t="s">
        <v>4966</v>
      </c>
      <c r="I577" s="6"/>
    </row>
    <row r="578" spans="1:9" x14ac:dyDescent="0.25">
      <c r="A578" t="s">
        <v>1101</v>
      </c>
      <c r="B578" s="9">
        <v>0</v>
      </c>
      <c r="C578">
        <v>150</v>
      </c>
      <c r="D578" s="9" t="s">
        <v>1102</v>
      </c>
      <c r="F578" s="5" t="s">
        <v>4970</v>
      </c>
      <c r="G578" s="5" t="s">
        <v>3894</v>
      </c>
      <c r="I578" s="6"/>
    </row>
    <row r="579" spans="1:9" x14ac:dyDescent="0.25">
      <c r="A579" t="s">
        <v>1103</v>
      </c>
      <c r="B579" s="9">
        <v>-150</v>
      </c>
      <c r="C579">
        <v>150</v>
      </c>
      <c r="D579" s="9" t="s">
        <v>1104</v>
      </c>
      <c r="F579" s="5" t="s">
        <v>4971</v>
      </c>
      <c r="G579" s="5" t="s">
        <v>3949</v>
      </c>
      <c r="H579" s="5" t="s">
        <v>4972</v>
      </c>
      <c r="I579" s="6"/>
    </row>
    <row r="580" spans="1:9" x14ac:dyDescent="0.25">
      <c r="A580" t="s">
        <v>1105</v>
      </c>
      <c r="B580" s="9">
        <v>-150</v>
      </c>
      <c r="C580">
        <v>150</v>
      </c>
      <c r="D580" s="9" t="s">
        <v>1106</v>
      </c>
      <c r="F580" s="5" t="s">
        <v>4973</v>
      </c>
      <c r="G580" s="5" t="s">
        <v>3949</v>
      </c>
      <c r="H580" s="5" t="s">
        <v>4972</v>
      </c>
      <c r="I580" s="6"/>
    </row>
    <row r="581" spans="1:9" x14ac:dyDescent="0.25">
      <c r="A581" t="s">
        <v>1107</v>
      </c>
      <c r="B581" s="9">
        <v>-150</v>
      </c>
      <c r="C581">
        <v>150</v>
      </c>
      <c r="D581" s="9" t="s">
        <v>1108</v>
      </c>
      <c r="F581" s="5" t="s">
        <v>4974</v>
      </c>
      <c r="G581" s="5" t="s">
        <v>3949</v>
      </c>
      <c r="H581" s="5" t="s">
        <v>4972</v>
      </c>
      <c r="I581" s="6"/>
    </row>
    <row r="582" spans="1:9" x14ac:dyDescent="0.25">
      <c r="A582" t="s">
        <v>1109</v>
      </c>
      <c r="B582" s="9">
        <v>-150</v>
      </c>
      <c r="C582">
        <v>150</v>
      </c>
      <c r="D582" s="9" t="s">
        <v>1110</v>
      </c>
      <c r="F582" s="5" t="s">
        <v>4975</v>
      </c>
      <c r="G582" s="5" t="s">
        <v>3949</v>
      </c>
      <c r="H582" s="5" t="s">
        <v>4972</v>
      </c>
      <c r="I582" s="6"/>
    </row>
    <row r="583" spans="1:9" x14ac:dyDescent="0.25">
      <c r="A583" t="s">
        <v>1111</v>
      </c>
      <c r="B583" s="9">
        <v>-150</v>
      </c>
      <c r="C583">
        <v>150</v>
      </c>
      <c r="D583" s="9" t="s">
        <v>1112</v>
      </c>
      <c r="F583" s="5" t="s">
        <v>4976</v>
      </c>
      <c r="G583" s="5" t="s">
        <v>3949</v>
      </c>
      <c r="H583" s="5" t="s">
        <v>4972</v>
      </c>
      <c r="I583" s="6"/>
    </row>
    <row r="584" spans="1:9" x14ac:dyDescent="0.25">
      <c r="A584" t="s">
        <v>1113</v>
      </c>
      <c r="B584" s="9">
        <v>-150</v>
      </c>
      <c r="C584">
        <v>150</v>
      </c>
      <c r="D584" s="9" t="s">
        <v>1114</v>
      </c>
      <c r="F584" s="5" t="s">
        <v>4977</v>
      </c>
      <c r="G584" s="5" t="s">
        <v>3949</v>
      </c>
      <c r="H584" s="5" t="s">
        <v>4972</v>
      </c>
      <c r="I584" s="6"/>
    </row>
    <row r="585" spans="1:9" x14ac:dyDescent="0.25">
      <c r="A585" t="s">
        <v>1115</v>
      </c>
      <c r="B585" s="9">
        <v>-150</v>
      </c>
      <c r="C585">
        <v>150</v>
      </c>
      <c r="D585" s="9" t="s">
        <v>1116</v>
      </c>
      <c r="F585" s="5" t="s">
        <v>4978</v>
      </c>
      <c r="G585" s="5" t="s">
        <v>3949</v>
      </c>
      <c r="H585" s="5" t="s">
        <v>4972</v>
      </c>
      <c r="I585" s="6"/>
    </row>
    <row r="586" spans="1:9" x14ac:dyDescent="0.25">
      <c r="A586" t="s">
        <v>1117</v>
      </c>
      <c r="B586" s="9">
        <v>0</v>
      </c>
      <c r="C586">
        <v>150</v>
      </c>
      <c r="D586" s="9" t="s">
        <v>1118</v>
      </c>
      <c r="F586" s="5" t="s">
        <v>4979</v>
      </c>
      <c r="G586" s="5" t="s">
        <v>3878</v>
      </c>
      <c r="H586" s="5" t="s">
        <v>4850</v>
      </c>
      <c r="I586" s="6">
        <v>124</v>
      </c>
    </row>
    <row r="587" spans="1:9" x14ac:dyDescent="0.25">
      <c r="A587" t="s">
        <v>1119</v>
      </c>
      <c r="B587" s="9">
        <v>0</v>
      </c>
      <c r="C587">
        <v>150</v>
      </c>
      <c r="D587" s="9" t="s">
        <v>1120</v>
      </c>
      <c r="F587" s="5" t="s">
        <v>4980</v>
      </c>
      <c r="G587" s="5" t="s">
        <v>3878</v>
      </c>
      <c r="H587" s="5" t="s">
        <v>4981</v>
      </c>
      <c r="I587" s="6"/>
    </row>
    <row r="588" spans="1:9" x14ac:dyDescent="0.25">
      <c r="A588" t="s">
        <v>1121</v>
      </c>
      <c r="B588" s="9">
        <v>0</v>
      </c>
      <c r="C588">
        <v>150</v>
      </c>
      <c r="D588" s="9" t="s">
        <v>1122</v>
      </c>
      <c r="F588" s="5" t="s">
        <v>4982</v>
      </c>
      <c r="G588" s="5" t="s">
        <v>3878</v>
      </c>
      <c r="H588" s="5" t="s">
        <v>4981</v>
      </c>
      <c r="I588" s="6">
        <v>118</v>
      </c>
    </row>
    <row r="589" spans="1:9" x14ac:dyDescent="0.25">
      <c r="A589" t="s">
        <v>1123</v>
      </c>
      <c r="B589" s="9">
        <v>0</v>
      </c>
      <c r="C589">
        <v>150</v>
      </c>
      <c r="D589" s="9" t="s">
        <v>1124</v>
      </c>
      <c r="F589" s="5" t="s">
        <v>4983</v>
      </c>
      <c r="G589" s="5" t="s">
        <v>3878</v>
      </c>
      <c r="H589" s="5" t="s">
        <v>4981</v>
      </c>
      <c r="I589" s="6"/>
    </row>
    <row r="590" spans="1:9" x14ac:dyDescent="0.25">
      <c r="A590" t="s">
        <v>1125</v>
      </c>
      <c r="B590" s="9">
        <v>0</v>
      </c>
      <c r="C590">
        <v>150</v>
      </c>
      <c r="D590" s="9" t="s">
        <v>1126</v>
      </c>
      <c r="F590" s="5" t="s">
        <v>4984</v>
      </c>
      <c r="G590" s="5" t="s">
        <v>3878</v>
      </c>
      <c r="I590" s="6"/>
    </row>
    <row r="591" spans="1:9" x14ac:dyDescent="0.25">
      <c r="A591" t="s">
        <v>1127</v>
      </c>
      <c r="B591" s="9">
        <v>0</v>
      </c>
      <c r="C591">
        <v>150</v>
      </c>
      <c r="D591" s="9" t="s">
        <v>1128</v>
      </c>
      <c r="F591" s="5" t="s">
        <v>4985</v>
      </c>
      <c r="G591" s="5" t="s">
        <v>4291</v>
      </c>
      <c r="H591" s="5" t="s">
        <v>4986</v>
      </c>
      <c r="I591" s="6"/>
    </row>
    <row r="592" spans="1:9" x14ac:dyDescent="0.25">
      <c r="A592" t="s">
        <v>1129</v>
      </c>
      <c r="B592" s="9">
        <v>-150</v>
      </c>
      <c r="C592">
        <v>150</v>
      </c>
      <c r="D592" s="9" t="s">
        <v>1130</v>
      </c>
      <c r="F592" s="5" t="s">
        <v>4987</v>
      </c>
      <c r="G592" s="5" t="s">
        <v>3949</v>
      </c>
      <c r="H592" s="5" t="s">
        <v>4988</v>
      </c>
      <c r="I592" s="6"/>
    </row>
    <row r="593" spans="1:9" x14ac:dyDescent="0.25">
      <c r="A593" t="s">
        <v>1131</v>
      </c>
      <c r="B593" s="9">
        <v>0</v>
      </c>
      <c r="C593">
        <v>150</v>
      </c>
      <c r="D593" s="9" t="s">
        <v>1132</v>
      </c>
      <c r="F593" s="5" t="s">
        <v>4990</v>
      </c>
      <c r="G593" s="5" t="s">
        <v>3878</v>
      </c>
      <c r="I593" s="6"/>
    </row>
    <row r="594" spans="1:9" x14ac:dyDescent="0.25">
      <c r="A594" t="s">
        <v>1133</v>
      </c>
      <c r="B594" s="9">
        <v>0</v>
      </c>
      <c r="C594">
        <v>150</v>
      </c>
      <c r="D594" s="9" t="s">
        <v>1134</v>
      </c>
      <c r="F594" s="5" t="s">
        <v>4991</v>
      </c>
      <c r="G594" s="5" t="s">
        <v>3878</v>
      </c>
      <c r="H594" s="5" t="s">
        <v>4992</v>
      </c>
      <c r="I594" s="6"/>
    </row>
    <row r="595" spans="1:9" x14ac:dyDescent="0.25">
      <c r="A595" t="s">
        <v>1135</v>
      </c>
      <c r="B595" s="9">
        <v>0</v>
      </c>
      <c r="C595">
        <v>150</v>
      </c>
      <c r="D595" s="9" t="s">
        <v>1136</v>
      </c>
      <c r="F595" s="5" t="s">
        <v>4993</v>
      </c>
      <c r="G595" s="5" t="s">
        <v>3878</v>
      </c>
      <c r="H595" s="5" t="s">
        <v>4994</v>
      </c>
      <c r="I595" s="6"/>
    </row>
    <row r="596" spans="1:9" x14ac:dyDescent="0.25">
      <c r="A596" t="s">
        <v>1137</v>
      </c>
      <c r="B596" s="9">
        <v>0</v>
      </c>
      <c r="C596">
        <v>150</v>
      </c>
      <c r="D596" s="9" t="s">
        <v>1138</v>
      </c>
      <c r="F596" s="5" t="s">
        <v>4993</v>
      </c>
      <c r="G596" s="5" t="s">
        <v>3878</v>
      </c>
      <c r="H596" s="5" t="s">
        <v>4994</v>
      </c>
      <c r="I596" s="6"/>
    </row>
    <row r="597" spans="1:9" x14ac:dyDescent="0.25">
      <c r="A597" t="s">
        <v>1139</v>
      </c>
      <c r="B597" s="9">
        <v>0</v>
      </c>
      <c r="C597">
        <v>150</v>
      </c>
      <c r="D597" s="9" t="s">
        <v>1140</v>
      </c>
      <c r="F597" s="5" t="s">
        <v>4995</v>
      </c>
      <c r="G597" s="5" t="s">
        <v>3870</v>
      </c>
      <c r="H597" s="5" t="s">
        <v>4996</v>
      </c>
      <c r="I597" s="6"/>
    </row>
    <row r="598" spans="1:9" x14ac:dyDescent="0.25">
      <c r="A598" t="s">
        <v>1141</v>
      </c>
      <c r="B598" s="9">
        <v>0</v>
      </c>
      <c r="C598">
        <v>150</v>
      </c>
      <c r="D598" s="9" t="s">
        <v>1142</v>
      </c>
      <c r="F598" s="5" t="s">
        <v>4997</v>
      </c>
      <c r="G598" s="5" t="s">
        <v>3870</v>
      </c>
      <c r="H598" s="5" t="s">
        <v>4998</v>
      </c>
      <c r="I598" s="6"/>
    </row>
    <row r="599" spans="1:9" x14ac:dyDescent="0.25">
      <c r="A599" t="s">
        <v>1143</v>
      </c>
      <c r="B599" s="9">
        <v>-150</v>
      </c>
      <c r="C599">
        <v>150</v>
      </c>
      <c r="D599" s="9" t="s">
        <v>1144</v>
      </c>
      <c r="F599" s="5" t="s">
        <v>4999</v>
      </c>
      <c r="G599" s="5" t="s">
        <v>3870</v>
      </c>
      <c r="H599" s="5" t="s">
        <v>5000</v>
      </c>
      <c r="I599" s="6">
        <v>120</v>
      </c>
    </row>
    <row r="600" spans="1:9" x14ac:dyDescent="0.25">
      <c r="A600" t="s">
        <v>1145</v>
      </c>
      <c r="B600" s="9">
        <v>0</v>
      </c>
      <c r="C600">
        <v>150</v>
      </c>
      <c r="D600" s="9" t="s">
        <v>1146</v>
      </c>
      <c r="F600" s="5" t="s">
        <v>5001</v>
      </c>
      <c r="G600" s="5" t="s">
        <v>3991</v>
      </c>
      <c r="I600" s="7">
        <v>97115</v>
      </c>
    </row>
    <row r="601" spans="1:9" x14ac:dyDescent="0.25">
      <c r="A601" t="s">
        <v>1147</v>
      </c>
      <c r="B601" s="9">
        <v>-150</v>
      </c>
      <c r="C601">
        <v>150</v>
      </c>
      <c r="D601" s="9" t="s">
        <v>1148</v>
      </c>
      <c r="F601" s="5" t="s">
        <v>5003</v>
      </c>
      <c r="G601" s="5" t="s">
        <v>3870</v>
      </c>
      <c r="H601" s="5" t="s">
        <v>5004</v>
      </c>
      <c r="I601" s="6"/>
    </row>
    <row r="602" spans="1:9" x14ac:dyDescent="0.25">
      <c r="A602" t="s">
        <v>1149</v>
      </c>
      <c r="B602" s="9">
        <v>0</v>
      </c>
      <c r="C602">
        <v>150</v>
      </c>
      <c r="D602" s="9" t="s">
        <v>1150</v>
      </c>
      <c r="F602" s="5" t="s">
        <v>5005</v>
      </c>
      <c r="G602" s="5" t="s">
        <v>3870</v>
      </c>
      <c r="H602" s="5" t="s">
        <v>5006</v>
      </c>
      <c r="I602" s="6"/>
    </row>
    <row r="603" spans="1:9" x14ac:dyDescent="0.25">
      <c r="A603" t="s">
        <v>1151</v>
      </c>
      <c r="B603" s="9">
        <v>-150</v>
      </c>
      <c r="C603">
        <v>150</v>
      </c>
      <c r="D603" s="9" t="s">
        <v>1152</v>
      </c>
      <c r="F603" s="5" t="s">
        <v>5008</v>
      </c>
      <c r="G603" s="5" t="s">
        <v>3870</v>
      </c>
      <c r="H603" s="5" t="s">
        <v>5009</v>
      </c>
      <c r="I603" s="6"/>
    </row>
    <row r="604" spans="1:9" x14ac:dyDescent="0.25">
      <c r="A604" t="s">
        <v>1153</v>
      </c>
      <c r="B604" s="9">
        <v>0</v>
      </c>
      <c r="C604">
        <v>150</v>
      </c>
      <c r="D604" s="9" t="s">
        <v>1154</v>
      </c>
      <c r="F604" s="5" t="s">
        <v>5010</v>
      </c>
      <c r="G604" s="5" t="s">
        <v>3949</v>
      </c>
      <c r="H604" s="5" t="s">
        <v>5011</v>
      </c>
      <c r="I604" s="6"/>
    </row>
    <row r="605" spans="1:9" x14ac:dyDescent="0.25">
      <c r="A605" t="s">
        <v>1155</v>
      </c>
      <c r="B605" s="9">
        <v>0</v>
      </c>
      <c r="C605">
        <v>150</v>
      </c>
      <c r="D605" s="9" t="s">
        <v>1156</v>
      </c>
      <c r="F605" s="5" t="s">
        <v>5012</v>
      </c>
      <c r="G605" s="5" t="s">
        <v>3949</v>
      </c>
      <c r="H605" s="5" t="s">
        <v>5011</v>
      </c>
      <c r="I605" s="6"/>
    </row>
    <row r="606" spans="1:9" x14ac:dyDescent="0.25">
      <c r="A606" t="s">
        <v>1157</v>
      </c>
      <c r="B606" s="9">
        <v>0</v>
      </c>
      <c r="C606">
        <v>150</v>
      </c>
      <c r="D606" s="9" t="s">
        <v>1158</v>
      </c>
      <c r="F606" s="5" t="s">
        <v>5013</v>
      </c>
      <c r="G606" s="5" t="s">
        <v>3949</v>
      </c>
      <c r="H606" s="5" t="s">
        <v>5011</v>
      </c>
      <c r="I606" s="6"/>
    </row>
    <row r="607" spans="1:9" x14ac:dyDescent="0.25">
      <c r="A607" t="s">
        <v>1159</v>
      </c>
      <c r="B607" s="9">
        <v>0</v>
      </c>
      <c r="C607">
        <v>150</v>
      </c>
      <c r="D607" s="9" t="s">
        <v>1160</v>
      </c>
      <c r="F607" s="5" t="s">
        <v>5014</v>
      </c>
      <c r="G607" s="5" t="s">
        <v>3949</v>
      </c>
      <c r="H607" s="5" t="s">
        <v>5011</v>
      </c>
      <c r="I607" s="6"/>
    </row>
    <row r="608" spans="1:9" x14ac:dyDescent="0.25">
      <c r="A608" t="s">
        <v>1161</v>
      </c>
      <c r="B608" s="9">
        <v>0</v>
      </c>
      <c r="C608">
        <v>150</v>
      </c>
      <c r="D608" s="9" t="s">
        <v>1162</v>
      </c>
      <c r="F608" s="5" t="s">
        <v>5015</v>
      </c>
      <c r="G608" s="5" t="s">
        <v>3949</v>
      </c>
      <c r="H608" s="5" t="s">
        <v>5016</v>
      </c>
      <c r="I608" s="6"/>
    </row>
    <row r="609" spans="1:9" x14ac:dyDescent="0.25">
      <c r="A609" t="s">
        <v>1163</v>
      </c>
      <c r="B609" s="9">
        <v>0</v>
      </c>
      <c r="C609">
        <v>150</v>
      </c>
      <c r="D609" s="9" t="s">
        <v>1164</v>
      </c>
      <c r="F609" s="5" t="s">
        <v>5017</v>
      </c>
      <c r="G609" s="5" t="s">
        <v>3949</v>
      </c>
      <c r="H609" s="5" t="s">
        <v>5016</v>
      </c>
      <c r="I609" s="6"/>
    </row>
    <row r="610" spans="1:9" x14ac:dyDescent="0.25">
      <c r="A610" t="s">
        <v>1165</v>
      </c>
      <c r="B610" s="9">
        <v>0</v>
      </c>
      <c r="C610">
        <v>150</v>
      </c>
      <c r="D610" s="9" t="s">
        <v>1166</v>
      </c>
      <c r="F610" s="5" t="s">
        <v>5018</v>
      </c>
      <c r="G610" s="5" t="s">
        <v>3949</v>
      </c>
      <c r="H610" s="5" t="s">
        <v>5016</v>
      </c>
      <c r="I610" s="6"/>
    </row>
    <row r="611" spans="1:9" x14ac:dyDescent="0.25">
      <c r="A611" t="s">
        <v>1167</v>
      </c>
      <c r="B611" s="9">
        <v>0</v>
      </c>
      <c r="C611">
        <v>150</v>
      </c>
      <c r="D611" s="9" t="s">
        <v>1168</v>
      </c>
      <c r="F611" s="5" t="s">
        <v>5019</v>
      </c>
      <c r="G611" s="5" t="s">
        <v>3949</v>
      </c>
      <c r="H611" s="5" t="s">
        <v>5016</v>
      </c>
      <c r="I611" s="6"/>
    </row>
    <row r="612" spans="1:9" x14ac:dyDescent="0.25">
      <c r="A612" t="s">
        <v>1169</v>
      </c>
      <c r="B612" s="9">
        <v>-150</v>
      </c>
      <c r="C612">
        <v>150</v>
      </c>
      <c r="D612" s="9" t="s">
        <v>1170</v>
      </c>
      <c r="F612" s="5" t="s">
        <v>5020</v>
      </c>
      <c r="G612" s="5" t="s">
        <v>4284</v>
      </c>
      <c r="H612" s="5" t="s">
        <v>5021</v>
      </c>
      <c r="I612" s="6">
        <v>69</v>
      </c>
    </row>
    <row r="613" spans="1:9" x14ac:dyDescent="0.25">
      <c r="A613" t="s">
        <v>1171</v>
      </c>
      <c r="B613" s="9">
        <v>-150</v>
      </c>
      <c r="C613">
        <v>150</v>
      </c>
      <c r="D613" s="9" t="s">
        <v>1172</v>
      </c>
      <c r="F613" s="5" t="s">
        <v>5022</v>
      </c>
      <c r="G613" s="5" t="s">
        <v>4284</v>
      </c>
      <c r="H613" s="5" t="s">
        <v>5023</v>
      </c>
      <c r="I613" s="6"/>
    </row>
    <row r="614" spans="1:9" x14ac:dyDescent="0.25">
      <c r="A614" t="s">
        <v>1173</v>
      </c>
      <c r="B614" s="9">
        <v>0</v>
      </c>
      <c r="C614">
        <v>150</v>
      </c>
      <c r="D614" s="9" t="s">
        <v>1174</v>
      </c>
      <c r="F614" s="5" t="s">
        <v>5024</v>
      </c>
      <c r="G614" s="5" t="s">
        <v>3878</v>
      </c>
      <c r="I614" s="6">
        <v>133</v>
      </c>
    </row>
    <row r="615" spans="1:9" x14ac:dyDescent="0.25">
      <c r="A615" t="s">
        <v>1175</v>
      </c>
      <c r="B615" s="9">
        <v>0</v>
      </c>
      <c r="C615">
        <v>150</v>
      </c>
      <c r="D615" s="9" t="s">
        <v>1176</v>
      </c>
      <c r="F615" s="5" t="s">
        <v>5025</v>
      </c>
      <c r="G615" s="5" t="s">
        <v>3884</v>
      </c>
      <c r="I615" s="6">
        <v>63</v>
      </c>
    </row>
    <row r="616" spans="1:9" x14ac:dyDescent="0.25">
      <c r="A616" t="s">
        <v>1177</v>
      </c>
      <c r="B616" s="9">
        <v>0</v>
      </c>
      <c r="C616">
        <v>150</v>
      </c>
      <c r="D616" s="9" t="s">
        <v>6910</v>
      </c>
      <c r="F616" s="5" t="s">
        <v>5026</v>
      </c>
      <c r="G616" s="5" t="s">
        <v>3894</v>
      </c>
      <c r="H616" s="5" t="s">
        <v>5027</v>
      </c>
      <c r="I616" s="6">
        <v>99</v>
      </c>
    </row>
    <row r="617" spans="1:9" x14ac:dyDescent="0.25">
      <c r="A617" t="s">
        <v>1178</v>
      </c>
      <c r="B617" s="9">
        <v>0</v>
      </c>
      <c r="C617">
        <v>150</v>
      </c>
      <c r="D617" s="9" t="s">
        <v>1179</v>
      </c>
      <c r="F617" s="5" t="s">
        <v>5028</v>
      </c>
      <c r="G617" s="5" t="s">
        <v>3974</v>
      </c>
      <c r="I617" s="6">
        <v>114</v>
      </c>
    </row>
    <row r="618" spans="1:9" x14ac:dyDescent="0.25">
      <c r="A618" t="s">
        <v>1180</v>
      </c>
      <c r="B618" s="9">
        <v>-150</v>
      </c>
      <c r="C618">
        <v>150</v>
      </c>
      <c r="D618" s="9" t="s">
        <v>1181</v>
      </c>
      <c r="F618" s="5" t="s">
        <v>5029</v>
      </c>
      <c r="G618" s="5" t="s">
        <v>3870</v>
      </c>
      <c r="H618" s="5" t="s">
        <v>5030</v>
      </c>
      <c r="I618" s="6"/>
    </row>
    <row r="619" spans="1:9" x14ac:dyDescent="0.25">
      <c r="A619" t="s">
        <v>1182</v>
      </c>
      <c r="B619" s="9">
        <v>0</v>
      </c>
      <c r="C619">
        <v>150</v>
      </c>
      <c r="D619" s="9" t="s">
        <v>1183</v>
      </c>
      <c r="F619" s="5" t="s">
        <v>5032</v>
      </c>
      <c r="G619" s="5" t="s">
        <v>4067</v>
      </c>
      <c r="H619" s="5" t="s">
        <v>5033</v>
      </c>
      <c r="I619" s="6"/>
    </row>
    <row r="620" spans="1:9" x14ac:dyDescent="0.25">
      <c r="A620" t="s">
        <v>1184</v>
      </c>
      <c r="B620" s="9">
        <v>-150</v>
      </c>
      <c r="C620">
        <v>150</v>
      </c>
      <c r="D620" s="9" t="s">
        <v>1185</v>
      </c>
      <c r="F620" s="5" t="s">
        <v>5034</v>
      </c>
      <c r="G620" s="5" t="s">
        <v>4067</v>
      </c>
      <c r="H620" s="5" t="s">
        <v>5035</v>
      </c>
      <c r="I620" s="6"/>
    </row>
    <row r="621" spans="1:9" x14ac:dyDescent="0.25">
      <c r="A621" t="s">
        <v>1186</v>
      </c>
      <c r="B621" s="9">
        <v>0</v>
      </c>
      <c r="C621">
        <v>150</v>
      </c>
      <c r="D621" s="9" t="s">
        <v>1187</v>
      </c>
      <c r="F621" s="5" t="s">
        <v>5036</v>
      </c>
      <c r="G621" s="5" t="s">
        <v>3936</v>
      </c>
      <c r="H621" s="5" t="s">
        <v>5037</v>
      </c>
      <c r="I621" s="6">
        <v>112</v>
      </c>
    </row>
    <row r="622" spans="1:9" x14ac:dyDescent="0.25">
      <c r="A622" t="s">
        <v>1188</v>
      </c>
      <c r="B622" s="9">
        <v>-150</v>
      </c>
      <c r="C622">
        <v>150</v>
      </c>
      <c r="D622" s="9" t="s">
        <v>1189</v>
      </c>
      <c r="F622" s="5" t="s">
        <v>5038</v>
      </c>
      <c r="G622" s="5" t="s">
        <v>3878</v>
      </c>
      <c r="I622" s="6">
        <v>26</v>
      </c>
    </row>
    <row r="623" spans="1:9" x14ac:dyDescent="0.25">
      <c r="A623" t="s">
        <v>1190</v>
      </c>
      <c r="B623" s="9">
        <v>-150</v>
      </c>
      <c r="C623">
        <v>150</v>
      </c>
      <c r="D623" s="9" t="s">
        <v>1191</v>
      </c>
      <c r="F623" s="5" t="s">
        <v>5039</v>
      </c>
      <c r="G623" s="5" t="s">
        <v>3974</v>
      </c>
      <c r="H623" s="5" t="s">
        <v>5040</v>
      </c>
      <c r="I623" s="6"/>
    </row>
    <row r="624" spans="1:9" x14ac:dyDescent="0.25">
      <c r="A624" t="s">
        <v>1192</v>
      </c>
      <c r="B624" s="9">
        <v>0</v>
      </c>
      <c r="C624">
        <v>150</v>
      </c>
      <c r="D624" s="9" t="s">
        <v>1193</v>
      </c>
      <c r="F624" s="5" t="s">
        <v>5041</v>
      </c>
      <c r="G624" s="5" t="s">
        <v>4392</v>
      </c>
      <c r="I624" s="6"/>
    </row>
    <row r="625" spans="1:9" x14ac:dyDescent="0.25">
      <c r="A625" t="s">
        <v>1194</v>
      </c>
      <c r="B625" s="9">
        <v>0</v>
      </c>
      <c r="C625">
        <v>150</v>
      </c>
      <c r="D625" s="9" t="s">
        <v>1195</v>
      </c>
      <c r="F625" s="5" t="s">
        <v>5042</v>
      </c>
      <c r="G625" s="5" t="s">
        <v>4392</v>
      </c>
      <c r="H625" s="5" t="s">
        <v>3957</v>
      </c>
      <c r="I625" s="6"/>
    </row>
    <row r="626" spans="1:9" x14ac:dyDescent="0.25">
      <c r="A626" t="s">
        <v>1196</v>
      </c>
      <c r="B626" s="9">
        <v>0</v>
      </c>
      <c r="C626">
        <v>150</v>
      </c>
      <c r="D626" s="9" t="s">
        <v>1197</v>
      </c>
      <c r="F626" s="5" t="s">
        <v>5045</v>
      </c>
      <c r="G626" s="5" t="s">
        <v>3894</v>
      </c>
      <c r="I626" s="6">
        <v>99</v>
      </c>
    </row>
    <row r="627" spans="1:9" x14ac:dyDescent="0.25">
      <c r="A627" t="s">
        <v>1198</v>
      </c>
      <c r="B627" s="9">
        <v>0</v>
      </c>
      <c r="C627">
        <v>150</v>
      </c>
      <c r="D627" s="9" t="s">
        <v>1199</v>
      </c>
      <c r="F627" s="5" t="s">
        <v>5046</v>
      </c>
      <c r="G627" s="5" t="s">
        <v>3894</v>
      </c>
      <c r="I627" s="6">
        <v>99</v>
      </c>
    </row>
    <row r="628" spans="1:9" x14ac:dyDescent="0.25">
      <c r="A628" t="s">
        <v>1200</v>
      </c>
      <c r="B628" s="9">
        <v>0</v>
      </c>
      <c r="C628">
        <v>150</v>
      </c>
      <c r="D628" s="9" t="s">
        <v>1201</v>
      </c>
      <c r="F628" s="5" t="s">
        <v>5047</v>
      </c>
      <c r="G628" s="5" t="s">
        <v>3878</v>
      </c>
      <c r="I628" s="6"/>
    </row>
    <row r="629" spans="1:9" x14ac:dyDescent="0.25">
      <c r="A629" t="s">
        <v>1202</v>
      </c>
      <c r="B629" s="9">
        <v>0</v>
      </c>
      <c r="C629">
        <v>150</v>
      </c>
      <c r="D629" s="9" t="s">
        <v>1203</v>
      </c>
      <c r="F629" s="5" t="s">
        <v>5048</v>
      </c>
      <c r="G629" s="5" t="s">
        <v>3878</v>
      </c>
      <c r="I629" s="6"/>
    </row>
    <row r="630" spans="1:9" x14ac:dyDescent="0.25">
      <c r="A630" t="s">
        <v>1204</v>
      </c>
      <c r="B630" s="9">
        <v>0</v>
      </c>
      <c r="C630">
        <v>150</v>
      </c>
      <c r="D630" s="9" t="s">
        <v>1205</v>
      </c>
      <c r="F630" s="5" t="s">
        <v>5049</v>
      </c>
      <c r="G630" s="5" t="s">
        <v>3878</v>
      </c>
      <c r="I630" s="6"/>
    </row>
    <row r="631" spans="1:9" x14ac:dyDescent="0.25">
      <c r="A631" t="s">
        <v>1206</v>
      </c>
      <c r="B631" s="9">
        <v>-150</v>
      </c>
      <c r="C631">
        <v>150</v>
      </c>
      <c r="D631" s="9" t="s">
        <v>1207</v>
      </c>
      <c r="F631" s="5" t="s">
        <v>5050</v>
      </c>
      <c r="G631" s="5" t="s">
        <v>4043</v>
      </c>
      <c r="H631" s="5" t="s">
        <v>5051</v>
      </c>
      <c r="I631" s="6"/>
    </row>
    <row r="632" spans="1:9" x14ac:dyDescent="0.25">
      <c r="A632" t="s">
        <v>1208</v>
      </c>
      <c r="B632" s="9">
        <v>0</v>
      </c>
      <c r="C632">
        <v>150</v>
      </c>
      <c r="D632" s="9" t="s">
        <v>1209</v>
      </c>
      <c r="F632" s="5" t="s">
        <v>5052</v>
      </c>
      <c r="G632" s="5" t="s">
        <v>4043</v>
      </c>
      <c r="H632" s="5" t="s">
        <v>5053</v>
      </c>
      <c r="I632" s="6"/>
    </row>
    <row r="633" spans="1:9" x14ac:dyDescent="0.25">
      <c r="A633" t="s">
        <v>1210</v>
      </c>
      <c r="B633" s="9">
        <v>0</v>
      </c>
      <c r="C633">
        <v>150</v>
      </c>
      <c r="D633" s="9" t="s">
        <v>1211</v>
      </c>
      <c r="F633" s="5" t="s">
        <v>5054</v>
      </c>
      <c r="G633" s="5" t="s">
        <v>3991</v>
      </c>
      <c r="H633" s="5" t="s">
        <v>5055</v>
      </c>
      <c r="I633" s="6"/>
    </row>
    <row r="634" spans="1:9" x14ac:dyDescent="0.25">
      <c r="A634" t="s">
        <v>1212</v>
      </c>
      <c r="B634" s="9">
        <v>0</v>
      </c>
      <c r="C634">
        <v>150</v>
      </c>
      <c r="D634" s="9" t="s">
        <v>1213</v>
      </c>
      <c r="F634" s="5" t="s">
        <v>5056</v>
      </c>
      <c r="G634" s="5" t="s">
        <v>3894</v>
      </c>
      <c r="I634" s="6">
        <v>99</v>
      </c>
    </row>
    <row r="635" spans="1:9" x14ac:dyDescent="0.25">
      <c r="A635" t="s">
        <v>1214</v>
      </c>
      <c r="B635" s="9">
        <v>0</v>
      </c>
      <c r="C635">
        <v>150</v>
      </c>
      <c r="D635" s="9" t="s">
        <v>1215</v>
      </c>
      <c r="F635" s="5" t="s">
        <v>5058</v>
      </c>
      <c r="G635" s="5" t="s">
        <v>3894</v>
      </c>
      <c r="H635" s="5" t="s">
        <v>5059</v>
      </c>
      <c r="I635" s="6">
        <v>35</v>
      </c>
    </row>
    <row r="636" spans="1:9" x14ac:dyDescent="0.25">
      <c r="A636" t="s">
        <v>1216</v>
      </c>
      <c r="B636" s="9">
        <v>0</v>
      </c>
      <c r="C636">
        <v>150</v>
      </c>
      <c r="D636" s="9" t="s">
        <v>1217</v>
      </c>
      <c r="F636" s="5" t="s">
        <v>5060</v>
      </c>
      <c r="G636" s="5" t="s">
        <v>3894</v>
      </c>
      <c r="H636" s="5" t="s">
        <v>5059</v>
      </c>
      <c r="I636" s="6">
        <v>35</v>
      </c>
    </row>
    <row r="637" spans="1:9" x14ac:dyDescent="0.25">
      <c r="A637" t="s">
        <v>1218</v>
      </c>
      <c r="B637" s="9">
        <v>0</v>
      </c>
      <c r="C637">
        <v>150</v>
      </c>
      <c r="D637" s="9" t="s">
        <v>1219</v>
      </c>
      <c r="F637" s="5" t="s">
        <v>5061</v>
      </c>
      <c r="G637" s="5" t="s">
        <v>3894</v>
      </c>
      <c r="H637" s="5" t="s">
        <v>5062</v>
      </c>
      <c r="I637" s="6"/>
    </row>
    <row r="638" spans="1:9" x14ac:dyDescent="0.25">
      <c r="A638" t="s">
        <v>1220</v>
      </c>
      <c r="B638" s="9">
        <v>0</v>
      </c>
      <c r="C638">
        <v>150</v>
      </c>
      <c r="D638" s="9" t="s">
        <v>6416</v>
      </c>
      <c r="F638" s="5" t="s">
        <v>5063</v>
      </c>
      <c r="G638" s="5" t="s">
        <v>3936</v>
      </c>
      <c r="H638" s="5" t="s">
        <v>5064</v>
      </c>
      <c r="I638" s="6">
        <v>136</v>
      </c>
    </row>
    <row r="639" spans="1:9" x14ac:dyDescent="0.25">
      <c r="A639" t="s">
        <v>1221</v>
      </c>
      <c r="B639" s="9">
        <v>0</v>
      </c>
      <c r="C639">
        <v>150</v>
      </c>
      <c r="D639" s="9" t="s">
        <v>1222</v>
      </c>
      <c r="F639" s="5" t="s">
        <v>5065</v>
      </c>
      <c r="G639" s="5" t="s">
        <v>3894</v>
      </c>
      <c r="H639" s="5" t="s">
        <v>5066</v>
      </c>
      <c r="I639" s="6"/>
    </row>
    <row r="640" spans="1:9" x14ac:dyDescent="0.25">
      <c r="A640" t="s">
        <v>1223</v>
      </c>
      <c r="B640" s="9">
        <v>0</v>
      </c>
      <c r="C640">
        <v>150</v>
      </c>
      <c r="D640" s="9" t="s">
        <v>1224</v>
      </c>
      <c r="F640" s="5" t="s">
        <v>5067</v>
      </c>
      <c r="G640" s="5" t="s">
        <v>3894</v>
      </c>
      <c r="H640" s="5" t="s">
        <v>5066</v>
      </c>
      <c r="I640" s="6"/>
    </row>
    <row r="641" spans="1:9" x14ac:dyDescent="0.25">
      <c r="A641" t="s">
        <v>1225</v>
      </c>
      <c r="B641" s="9">
        <v>0</v>
      </c>
      <c r="C641">
        <v>150</v>
      </c>
      <c r="D641" s="9" t="s">
        <v>1226</v>
      </c>
      <c r="F641" s="5" t="s">
        <v>5068</v>
      </c>
      <c r="G641" s="5" t="s">
        <v>3878</v>
      </c>
      <c r="H641" s="5" t="s">
        <v>5069</v>
      </c>
      <c r="I641" s="6"/>
    </row>
    <row r="642" spans="1:9" x14ac:dyDescent="0.25">
      <c r="A642" t="s">
        <v>1227</v>
      </c>
      <c r="B642" s="9">
        <v>0</v>
      </c>
      <c r="C642">
        <v>150</v>
      </c>
      <c r="D642" s="9" t="s">
        <v>1228</v>
      </c>
      <c r="F642" s="5" t="s">
        <v>5070</v>
      </c>
      <c r="G642" s="5" t="s">
        <v>3878</v>
      </c>
      <c r="I642" s="6"/>
    </row>
    <row r="643" spans="1:9" x14ac:dyDescent="0.25">
      <c r="A643" t="s">
        <v>6928</v>
      </c>
      <c r="B643" s="9">
        <v>-150</v>
      </c>
      <c r="C643">
        <v>150</v>
      </c>
      <c r="D643" s="9" t="s">
        <v>6929</v>
      </c>
      <c r="F643" s="5" t="s">
        <v>5076</v>
      </c>
      <c r="G643" s="5" t="s">
        <v>3939</v>
      </c>
      <c r="H643" s="5" t="s">
        <v>4324</v>
      </c>
      <c r="I643" s="6"/>
    </row>
    <row r="644" spans="1:9" x14ac:dyDescent="0.25">
      <c r="A644" t="s">
        <v>1233</v>
      </c>
      <c r="B644" s="9">
        <v>-150</v>
      </c>
      <c r="C644">
        <v>150</v>
      </c>
      <c r="D644" s="9" t="s">
        <v>1234</v>
      </c>
      <c r="F644" s="5" t="s">
        <v>5079</v>
      </c>
      <c r="G644" s="5" t="s">
        <v>3939</v>
      </c>
      <c r="H644" s="5" t="s">
        <v>5080</v>
      </c>
      <c r="I644" s="6"/>
    </row>
    <row r="645" spans="1:9" x14ac:dyDescent="0.25">
      <c r="A645" t="s">
        <v>1235</v>
      </c>
      <c r="B645" s="9">
        <v>-150</v>
      </c>
      <c r="C645">
        <v>150</v>
      </c>
      <c r="D645" s="9" t="s">
        <v>1236</v>
      </c>
      <c r="F645" s="5" t="s">
        <v>5083</v>
      </c>
      <c r="G645" s="5" t="s">
        <v>3974</v>
      </c>
      <c r="H645" s="5" t="s">
        <v>5084</v>
      </c>
      <c r="I645" s="6"/>
    </row>
    <row r="646" spans="1:9" x14ac:dyDescent="0.25">
      <c r="A646" t="s">
        <v>1237</v>
      </c>
      <c r="B646" s="9">
        <v>-150</v>
      </c>
      <c r="C646">
        <v>150</v>
      </c>
      <c r="D646" s="9" t="s">
        <v>1238</v>
      </c>
      <c r="F646" s="5" t="s">
        <v>5085</v>
      </c>
      <c r="G646" s="5" t="s">
        <v>3870</v>
      </c>
      <c r="H646" s="5" t="s">
        <v>5086</v>
      </c>
      <c r="I646" s="6">
        <v>132</v>
      </c>
    </row>
    <row r="647" spans="1:9" x14ac:dyDescent="0.25">
      <c r="A647" t="s">
        <v>1239</v>
      </c>
      <c r="B647" s="9">
        <v>-150</v>
      </c>
      <c r="C647">
        <v>150</v>
      </c>
      <c r="D647" s="9" t="s">
        <v>1240</v>
      </c>
      <c r="F647" s="5" t="s">
        <v>5087</v>
      </c>
      <c r="G647" s="5" t="s">
        <v>4284</v>
      </c>
      <c r="H647" s="5" t="s">
        <v>5088</v>
      </c>
      <c r="I647" s="6"/>
    </row>
    <row r="648" spans="1:9" x14ac:dyDescent="0.25">
      <c r="A648" t="s">
        <v>1241</v>
      </c>
      <c r="B648" s="9">
        <v>0</v>
      </c>
      <c r="C648">
        <v>150</v>
      </c>
      <c r="D648" s="9" t="s">
        <v>1242</v>
      </c>
      <c r="F648" s="5" t="s">
        <v>5089</v>
      </c>
      <c r="G648" s="5" t="s">
        <v>3870</v>
      </c>
      <c r="H648" s="5" t="s">
        <v>5090</v>
      </c>
      <c r="I648" s="6">
        <v>92</v>
      </c>
    </row>
    <row r="649" spans="1:9" x14ac:dyDescent="0.25">
      <c r="A649" t="s">
        <v>1243</v>
      </c>
      <c r="B649" s="9">
        <v>0</v>
      </c>
      <c r="C649">
        <v>150</v>
      </c>
      <c r="D649" s="9" t="s">
        <v>6911</v>
      </c>
      <c r="F649" s="5" t="s">
        <v>5092</v>
      </c>
      <c r="G649" s="5" t="s">
        <v>3870</v>
      </c>
      <c r="H649" s="5" t="s">
        <v>5093</v>
      </c>
      <c r="I649" s="6">
        <v>95</v>
      </c>
    </row>
    <row r="650" spans="1:9" x14ac:dyDescent="0.25">
      <c r="A650" t="s">
        <v>1244</v>
      </c>
      <c r="B650" s="9">
        <v>0</v>
      </c>
      <c r="C650">
        <v>150</v>
      </c>
      <c r="D650" s="9" t="s">
        <v>1245</v>
      </c>
      <c r="F650" s="5" t="s">
        <v>5095</v>
      </c>
      <c r="G650" s="5" t="s">
        <v>3884</v>
      </c>
      <c r="I650" s="6">
        <v>23</v>
      </c>
    </row>
    <row r="651" spans="1:9" x14ac:dyDescent="0.25">
      <c r="A651" t="s">
        <v>1246</v>
      </c>
      <c r="B651" s="9">
        <v>0</v>
      </c>
      <c r="C651">
        <v>150</v>
      </c>
      <c r="D651" s="9" t="s">
        <v>1247</v>
      </c>
      <c r="F651" s="5" t="s">
        <v>5096</v>
      </c>
      <c r="G651" s="5" t="s">
        <v>3884</v>
      </c>
      <c r="H651" s="5" t="s">
        <v>5097</v>
      </c>
      <c r="I651" s="6">
        <v>23</v>
      </c>
    </row>
    <row r="652" spans="1:9" x14ac:dyDescent="0.25">
      <c r="A652" t="s">
        <v>1248</v>
      </c>
      <c r="B652" s="9">
        <v>0</v>
      </c>
      <c r="C652">
        <v>150</v>
      </c>
      <c r="D652" s="9" t="s">
        <v>1249</v>
      </c>
      <c r="F652" s="5" t="s">
        <v>5098</v>
      </c>
      <c r="G652" s="5" t="s">
        <v>3884</v>
      </c>
      <c r="H652" s="5" t="s">
        <v>5099</v>
      </c>
      <c r="I652" s="6"/>
    </row>
    <row r="653" spans="1:9" x14ac:dyDescent="0.25">
      <c r="A653" t="s">
        <v>1250</v>
      </c>
      <c r="B653" s="9">
        <v>0</v>
      </c>
      <c r="C653">
        <v>150</v>
      </c>
      <c r="D653" s="9" t="s">
        <v>1251</v>
      </c>
      <c r="F653" s="5" t="s">
        <v>5100</v>
      </c>
      <c r="G653" s="5" t="s">
        <v>3884</v>
      </c>
      <c r="H653" s="5" t="s">
        <v>5101</v>
      </c>
      <c r="I653" s="6"/>
    </row>
    <row r="654" spans="1:9" x14ac:dyDescent="0.25">
      <c r="A654" t="s">
        <v>1252</v>
      </c>
      <c r="B654" s="9">
        <v>0</v>
      </c>
      <c r="C654">
        <v>150</v>
      </c>
      <c r="D654" s="9" t="s">
        <v>1253</v>
      </c>
      <c r="F654" s="5" t="s">
        <v>5102</v>
      </c>
      <c r="G654" s="5" t="s">
        <v>3884</v>
      </c>
      <c r="H654" s="5" t="s">
        <v>5103</v>
      </c>
      <c r="I654" s="6">
        <v>23</v>
      </c>
    </row>
    <row r="655" spans="1:9" x14ac:dyDescent="0.25">
      <c r="A655" t="s">
        <v>1254</v>
      </c>
      <c r="B655" s="9">
        <v>0</v>
      </c>
      <c r="C655">
        <v>150</v>
      </c>
      <c r="D655" s="9" t="s">
        <v>1255</v>
      </c>
      <c r="F655" s="5" t="s">
        <v>5104</v>
      </c>
      <c r="G655" s="5" t="s">
        <v>3884</v>
      </c>
      <c r="H655" s="5" t="s">
        <v>5105</v>
      </c>
      <c r="I655" s="6"/>
    </row>
    <row r="656" spans="1:9" x14ac:dyDescent="0.25">
      <c r="A656" t="s">
        <v>1256</v>
      </c>
      <c r="B656" s="9">
        <v>0</v>
      </c>
      <c r="C656">
        <v>150</v>
      </c>
      <c r="D656" s="9" t="s">
        <v>6912</v>
      </c>
      <c r="F656" s="5" t="s">
        <v>5106</v>
      </c>
      <c r="G656" s="5" t="s">
        <v>3939</v>
      </c>
      <c r="H656" s="5" t="s">
        <v>3957</v>
      </c>
      <c r="I656" s="6"/>
    </row>
    <row r="657" spans="1:9" x14ac:dyDescent="0.25">
      <c r="A657" t="s">
        <v>1257</v>
      </c>
      <c r="B657" s="9">
        <v>0</v>
      </c>
      <c r="C657">
        <v>150</v>
      </c>
      <c r="D657" s="9" t="s">
        <v>1258</v>
      </c>
      <c r="F657" s="5" t="s">
        <v>5107</v>
      </c>
      <c r="G657" s="5" t="s">
        <v>4097</v>
      </c>
      <c r="H657" s="5" t="s">
        <v>3957</v>
      </c>
      <c r="I657" s="6"/>
    </row>
    <row r="658" spans="1:9" x14ac:dyDescent="0.25">
      <c r="A658" t="s">
        <v>1259</v>
      </c>
      <c r="B658" s="9">
        <v>-150</v>
      </c>
      <c r="C658">
        <v>150</v>
      </c>
      <c r="D658" s="9" t="s">
        <v>1260</v>
      </c>
      <c r="F658" s="5" t="s">
        <v>5108</v>
      </c>
      <c r="G658" s="5" t="s">
        <v>3870</v>
      </c>
      <c r="H658" s="5" t="s">
        <v>5109</v>
      </c>
      <c r="I658" s="6"/>
    </row>
    <row r="659" spans="1:9" x14ac:dyDescent="0.25">
      <c r="A659" t="s">
        <v>1261</v>
      </c>
      <c r="B659" s="9">
        <v>0</v>
      </c>
      <c r="C659">
        <v>150</v>
      </c>
      <c r="D659" s="9" t="s">
        <v>1262</v>
      </c>
      <c r="F659" s="5" t="s">
        <v>5111</v>
      </c>
      <c r="G659" s="5" t="s">
        <v>4067</v>
      </c>
      <c r="H659" s="5" t="s">
        <v>5112</v>
      </c>
      <c r="I659" s="6"/>
    </row>
    <row r="660" spans="1:9" x14ac:dyDescent="0.25">
      <c r="A660" t="s">
        <v>1263</v>
      </c>
      <c r="B660" s="9">
        <v>-150</v>
      </c>
      <c r="C660">
        <v>150</v>
      </c>
      <c r="D660" s="9" t="s">
        <v>1264</v>
      </c>
      <c r="F660" s="5" t="s">
        <v>5118</v>
      </c>
      <c r="G660" s="5" t="s">
        <v>4067</v>
      </c>
      <c r="H660" s="5" t="s">
        <v>5119</v>
      </c>
      <c r="I660" s="6" t="s">
        <v>5120</v>
      </c>
    </row>
    <row r="661" spans="1:9" x14ac:dyDescent="0.25">
      <c r="A661" t="s">
        <v>1265</v>
      </c>
      <c r="B661" s="9">
        <v>0</v>
      </c>
      <c r="C661">
        <v>150</v>
      </c>
      <c r="D661" s="9" t="s">
        <v>1266</v>
      </c>
      <c r="F661" s="5" t="s">
        <v>5121</v>
      </c>
      <c r="G661" s="5" t="s">
        <v>4392</v>
      </c>
      <c r="H661" s="5" t="s">
        <v>5122</v>
      </c>
      <c r="I661" s="6"/>
    </row>
    <row r="662" spans="1:9" x14ac:dyDescent="0.25">
      <c r="A662" t="s">
        <v>1267</v>
      </c>
      <c r="B662" s="9">
        <v>0</v>
      </c>
      <c r="C662">
        <v>150</v>
      </c>
      <c r="D662" s="9" t="s">
        <v>1268</v>
      </c>
      <c r="F662" s="5" t="s">
        <v>5123</v>
      </c>
      <c r="G662" s="5" t="s">
        <v>3920</v>
      </c>
      <c r="I662" s="6"/>
    </row>
    <row r="663" spans="1:9" x14ac:dyDescent="0.25">
      <c r="A663" t="s">
        <v>1269</v>
      </c>
      <c r="B663" s="9">
        <v>0</v>
      </c>
      <c r="C663">
        <v>150</v>
      </c>
      <c r="D663" s="9" t="s">
        <v>1270</v>
      </c>
      <c r="F663" s="5" t="s">
        <v>5124</v>
      </c>
      <c r="G663" s="5" t="s">
        <v>4067</v>
      </c>
      <c r="H663" s="5" t="s">
        <v>5125</v>
      </c>
      <c r="I663" s="6"/>
    </row>
    <row r="664" spans="1:9" x14ac:dyDescent="0.25">
      <c r="A664" t="s">
        <v>1271</v>
      </c>
      <c r="B664" s="9">
        <v>0</v>
      </c>
      <c r="C664">
        <v>150</v>
      </c>
      <c r="D664" s="9" t="s">
        <v>6913</v>
      </c>
      <c r="F664" s="5" t="s">
        <v>5128</v>
      </c>
      <c r="G664" s="5" t="s">
        <v>3878</v>
      </c>
      <c r="I664" s="6" t="s">
        <v>5129</v>
      </c>
    </row>
    <row r="665" spans="1:9" x14ac:dyDescent="0.25">
      <c r="A665" t="s">
        <v>1272</v>
      </c>
      <c r="B665" s="9">
        <v>-150</v>
      </c>
      <c r="C665">
        <v>150</v>
      </c>
      <c r="D665" s="9" t="s">
        <v>1273</v>
      </c>
      <c r="F665" s="5" t="s">
        <v>5130</v>
      </c>
      <c r="G665" s="5" t="s">
        <v>4284</v>
      </c>
      <c r="H665" s="5" t="s">
        <v>5131</v>
      </c>
      <c r="I665" s="6"/>
    </row>
    <row r="666" spans="1:9" x14ac:dyDescent="0.25">
      <c r="A666" t="s">
        <v>1274</v>
      </c>
      <c r="B666" s="9">
        <v>-150</v>
      </c>
      <c r="C666">
        <v>150</v>
      </c>
      <c r="D666" s="9" t="s">
        <v>1275</v>
      </c>
      <c r="F666" s="5" t="s">
        <v>5130</v>
      </c>
      <c r="G666" s="5" t="s">
        <v>4284</v>
      </c>
      <c r="H666" s="5" t="s">
        <v>5131</v>
      </c>
      <c r="I666" s="6"/>
    </row>
    <row r="667" spans="1:9" x14ac:dyDescent="0.25">
      <c r="A667" t="s">
        <v>1276</v>
      </c>
      <c r="B667" s="9">
        <v>0</v>
      </c>
      <c r="C667">
        <v>150</v>
      </c>
      <c r="D667" s="9" t="s">
        <v>1277</v>
      </c>
      <c r="F667" s="5" t="s">
        <v>5132</v>
      </c>
      <c r="G667" s="5" t="s">
        <v>4097</v>
      </c>
      <c r="I667" s="6"/>
    </row>
    <row r="668" spans="1:9" x14ac:dyDescent="0.25">
      <c r="A668" t="s">
        <v>1278</v>
      </c>
      <c r="B668" s="9">
        <v>0</v>
      </c>
      <c r="C668">
        <v>150</v>
      </c>
      <c r="D668" s="9" t="s">
        <v>1279</v>
      </c>
      <c r="F668" s="5" t="s">
        <v>5133</v>
      </c>
      <c r="G668" s="5" t="s">
        <v>4097</v>
      </c>
      <c r="I668" s="6"/>
    </row>
    <row r="669" spans="1:9" x14ac:dyDescent="0.25">
      <c r="A669" t="s">
        <v>1280</v>
      </c>
      <c r="B669" s="9">
        <v>0</v>
      </c>
      <c r="C669">
        <v>150</v>
      </c>
      <c r="D669" s="9" t="s">
        <v>1281</v>
      </c>
      <c r="F669" s="5" t="s">
        <v>5134</v>
      </c>
      <c r="G669" s="5" t="s">
        <v>3949</v>
      </c>
      <c r="H669" s="5" t="s">
        <v>5135</v>
      </c>
      <c r="I669" s="6"/>
    </row>
    <row r="670" spans="1:9" x14ac:dyDescent="0.25">
      <c r="A670" t="s">
        <v>1282</v>
      </c>
      <c r="B670" s="9">
        <v>-150</v>
      </c>
      <c r="C670">
        <v>150</v>
      </c>
      <c r="D670" s="9" t="s">
        <v>1283</v>
      </c>
      <c r="F670" s="5" t="s">
        <v>5136</v>
      </c>
      <c r="G670" s="5" t="s">
        <v>3949</v>
      </c>
      <c r="H670" s="5" t="s">
        <v>5137</v>
      </c>
      <c r="I670" s="6"/>
    </row>
    <row r="671" spans="1:9" x14ac:dyDescent="0.25">
      <c r="A671" t="s">
        <v>1284</v>
      </c>
      <c r="B671" s="9">
        <v>0</v>
      </c>
      <c r="C671">
        <v>150</v>
      </c>
      <c r="D671" s="9" t="s">
        <v>1285</v>
      </c>
      <c r="F671" s="5" t="s">
        <v>5138</v>
      </c>
      <c r="G671" s="5" t="s">
        <v>3949</v>
      </c>
      <c r="H671" s="5" t="s">
        <v>5139</v>
      </c>
      <c r="I671" s="6"/>
    </row>
    <row r="672" spans="1:9" x14ac:dyDescent="0.25">
      <c r="A672" t="s">
        <v>1286</v>
      </c>
      <c r="B672" s="9">
        <v>-150</v>
      </c>
      <c r="C672">
        <v>150</v>
      </c>
      <c r="D672" s="9" t="s">
        <v>1287</v>
      </c>
      <c r="F672" s="5" t="s">
        <v>5140</v>
      </c>
      <c r="G672" s="5" t="s">
        <v>3878</v>
      </c>
      <c r="H672" s="5" t="s">
        <v>5141</v>
      </c>
      <c r="I672" s="6"/>
    </row>
    <row r="673" spans="1:9" x14ac:dyDescent="0.25">
      <c r="A673" t="s">
        <v>1288</v>
      </c>
      <c r="B673" s="9">
        <v>-150</v>
      </c>
      <c r="C673">
        <v>150</v>
      </c>
      <c r="D673" s="9" t="s">
        <v>1289</v>
      </c>
      <c r="F673" s="5" t="s">
        <v>5142</v>
      </c>
      <c r="G673" s="5" t="s">
        <v>3878</v>
      </c>
      <c r="H673" s="5" t="s">
        <v>5143</v>
      </c>
      <c r="I673" s="6"/>
    </row>
    <row r="674" spans="1:9" x14ac:dyDescent="0.25">
      <c r="A674" t="s">
        <v>1290</v>
      </c>
      <c r="B674" s="9">
        <v>0</v>
      </c>
      <c r="C674">
        <v>150</v>
      </c>
      <c r="D674" s="9" t="s">
        <v>1291</v>
      </c>
      <c r="F674" s="5" t="s">
        <v>5144</v>
      </c>
      <c r="G674" s="5" t="s">
        <v>3878</v>
      </c>
      <c r="H674" s="5" t="s">
        <v>5145</v>
      </c>
      <c r="I674" s="6"/>
    </row>
    <row r="675" spans="1:9" x14ac:dyDescent="0.25">
      <c r="A675" t="s">
        <v>1292</v>
      </c>
      <c r="B675" s="9">
        <v>-150</v>
      </c>
      <c r="C675">
        <v>150</v>
      </c>
      <c r="D675" s="9" t="s">
        <v>1293</v>
      </c>
      <c r="F675" s="5" t="s">
        <v>5146</v>
      </c>
      <c r="G675" s="5" t="s">
        <v>4291</v>
      </c>
      <c r="H675" s="5" t="s">
        <v>5147</v>
      </c>
      <c r="I675" s="6"/>
    </row>
    <row r="676" spans="1:9" x14ac:dyDescent="0.25">
      <c r="A676" t="s">
        <v>1294</v>
      </c>
      <c r="B676" s="9">
        <v>0</v>
      </c>
      <c r="C676">
        <v>150</v>
      </c>
      <c r="D676" s="9" t="s">
        <v>1295</v>
      </c>
      <c r="F676" s="5" t="s">
        <v>5148</v>
      </c>
      <c r="G676" s="5" t="s">
        <v>4097</v>
      </c>
      <c r="H676" s="5" t="s">
        <v>5149</v>
      </c>
      <c r="I676" s="6"/>
    </row>
    <row r="677" spans="1:9" x14ac:dyDescent="0.25">
      <c r="A677" t="s">
        <v>1296</v>
      </c>
      <c r="B677" s="9">
        <v>0</v>
      </c>
      <c r="C677">
        <v>150</v>
      </c>
      <c r="D677" s="9" t="s">
        <v>1297</v>
      </c>
      <c r="F677" s="5" t="s">
        <v>5150</v>
      </c>
      <c r="G677" s="5" t="s">
        <v>3870</v>
      </c>
      <c r="H677" s="5" t="s">
        <v>5151</v>
      </c>
      <c r="I677" s="6"/>
    </row>
    <row r="678" spans="1:9" x14ac:dyDescent="0.25">
      <c r="A678" t="s">
        <v>1298</v>
      </c>
      <c r="B678" s="9">
        <v>0</v>
      </c>
      <c r="C678">
        <v>150</v>
      </c>
      <c r="D678" s="9" t="s">
        <v>1299</v>
      </c>
      <c r="F678" s="5" t="s">
        <v>5152</v>
      </c>
      <c r="G678" s="5" t="s">
        <v>3870</v>
      </c>
      <c r="H678" s="5" t="s">
        <v>5153</v>
      </c>
      <c r="I678" s="6" t="s">
        <v>5154</v>
      </c>
    </row>
    <row r="679" spans="1:9" x14ac:dyDescent="0.25">
      <c r="A679" t="s">
        <v>1300</v>
      </c>
      <c r="B679" s="9">
        <v>0</v>
      </c>
      <c r="C679">
        <v>150</v>
      </c>
      <c r="D679" s="9" t="s">
        <v>1301</v>
      </c>
      <c r="F679" s="5" t="s">
        <v>5155</v>
      </c>
      <c r="G679" s="5" t="s">
        <v>3870</v>
      </c>
      <c r="H679" s="5" t="s">
        <v>5156</v>
      </c>
      <c r="I679" s="6" t="s">
        <v>5157</v>
      </c>
    </row>
    <row r="680" spans="1:9" x14ac:dyDescent="0.25">
      <c r="A680" t="s">
        <v>1302</v>
      </c>
      <c r="B680" s="9">
        <v>0</v>
      </c>
      <c r="C680">
        <v>150</v>
      </c>
      <c r="D680" s="9" t="s">
        <v>1303</v>
      </c>
      <c r="F680" s="5" t="s">
        <v>5158</v>
      </c>
      <c r="G680" s="5" t="s">
        <v>3870</v>
      </c>
      <c r="H680" s="5" t="s">
        <v>5159</v>
      </c>
      <c r="I680" s="6">
        <v>50</v>
      </c>
    </row>
    <row r="681" spans="1:9" x14ac:dyDescent="0.25">
      <c r="A681" t="s">
        <v>1390</v>
      </c>
      <c r="B681" s="9">
        <v>0</v>
      </c>
      <c r="C681">
        <v>150</v>
      </c>
      <c r="D681" s="9" t="s">
        <v>1391</v>
      </c>
      <c r="F681" s="5" t="s">
        <v>5158</v>
      </c>
      <c r="G681" s="5" t="s">
        <v>3870</v>
      </c>
      <c r="H681" s="5" t="s">
        <v>5159</v>
      </c>
      <c r="I681" s="6">
        <v>50</v>
      </c>
    </row>
    <row r="682" spans="1:9" x14ac:dyDescent="0.25">
      <c r="A682" t="s">
        <v>1304</v>
      </c>
      <c r="B682" s="9">
        <v>0</v>
      </c>
      <c r="C682">
        <v>150</v>
      </c>
      <c r="D682" s="9" t="s">
        <v>1305</v>
      </c>
      <c r="F682" s="5" t="s">
        <v>5161</v>
      </c>
      <c r="G682" s="5" t="s">
        <v>3974</v>
      </c>
      <c r="H682" s="5" t="s">
        <v>5162</v>
      </c>
      <c r="I682" s="6"/>
    </row>
    <row r="683" spans="1:9" x14ac:dyDescent="0.25">
      <c r="A683" t="s">
        <v>1306</v>
      </c>
      <c r="B683" s="9">
        <v>-150</v>
      </c>
      <c r="C683">
        <v>150</v>
      </c>
      <c r="D683" s="9" t="s">
        <v>1307</v>
      </c>
      <c r="F683" s="5" t="s">
        <v>5163</v>
      </c>
      <c r="G683" s="5" t="s">
        <v>4043</v>
      </c>
      <c r="H683" s="5" t="s">
        <v>5162</v>
      </c>
      <c r="I683" s="6"/>
    </row>
    <row r="684" spans="1:9" x14ac:dyDescent="0.25">
      <c r="A684" t="s">
        <v>1308</v>
      </c>
      <c r="B684" s="9">
        <v>0</v>
      </c>
      <c r="C684">
        <v>150</v>
      </c>
      <c r="D684" s="9" t="s">
        <v>1309</v>
      </c>
      <c r="F684" s="5" t="s">
        <v>5164</v>
      </c>
      <c r="G684" s="5" t="s">
        <v>4043</v>
      </c>
      <c r="H684" s="5" t="s">
        <v>5165</v>
      </c>
      <c r="I684" s="6"/>
    </row>
    <row r="685" spans="1:9" x14ac:dyDescent="0.25">
      <c r="A685" t="s">
        <v>1310</v>
      </c>
      <c r="B685" s="9">
        <v>0</v>
      </c>
      <c r="C685">
        <v>150</v>
      </c>
      <c r="D685" s="9" t="s">
        <v>1311</v>
      </c>
      <c r="F685" s="5" t="s">
        <v>5166</v>
      </c>
      <c r="G685" s="5" t="s">
        <v>4043</v>
      </c>
      <c r="H685" s="5" t="s">
        <v>5165</v>
      </c>
      <c r="I685" s="6">
        <v>138</v>
      </c>
    </row>
    <row r="686" spans="1:9" x14ac:dyDescent="0.25">
      <c r="A686" t="s">
        <v>1312</v>
      </c>
      <c r="B686" s="9">
        <v>0</v>
      </c>
      <c r="C686">
        <v>150</v>
      </c>
      <c r="D686" s="9" t="s">
        <v>1313</v>
      </c>
      <c r="F686" s="5" t="s">
        <v>5164</v>
      </c>
      <c r="G686" s="5" t="s">
        <v>4043</v>
      </c>
      <c r="H686" s="5" t="s">
        <v>5165</v>
      </c>
      <c r="I686" s="6">
        <v>138</v>
      </c>
    </row>
    <row r="687" spans="1:9" x14ac:dyDescent="0.25">
      <c r="A687" t="s">
        <v>1314</v>
      </c>
      <c r="B687" s="9">
        <v>0</v>
      </c>
      <c r="C687">
        <v>150</v>
      </c>
      <c r="D687" s="9" t="s">
        <v>1315</v>
      </c>
      <c r="F687" s="5" t="s">
        <v>5168</v>
      </c>
      <c r="G687" s="5" t="s">
        <v>4440</v>
      </c>
      <c r="H687" s="5" t="s">
        <v>5169</v>
      </c>
      <c r="I687" s="7">
        <v>51129</v>
      </c>
    </row>
    <row r="688" spans="1:9" x14ac:dyDescent="0.25">
      <c r="A688" t="s">
        <v>1316</v>
      </c>
      <c r="B688" s="9">
        <v>-150</v>
      </c>
      <c r="C688">
        <v>150</v>
      </c>
      <c r="D688" s="9" t="s">
        <v>1317</v>
      </c>
      <c r="F688" s="5" t="s">
        <v>5173</v>
      </c>
      <c r="G688" s="5" t="s">
        <v>4043</v>
      </c>
      <c r="H688" s="5" t="s">
        <v>5174</v>
      </c>
      <c r="I688" s="6"/>
    </row>
    <row r="689" spans="1:9" x14ac:dyDescent="0.25">
      <c r="A689" t="s">
        <v>1318</v>
      </c>
      <c r="B689" s="9">
        <v>0</v>
      </c>
      <c r="C689">
        <v>150</v>
      </c>
      <c r="D689" s="9" t="s">
        <v>1319</v>
      </c>
      <c r="F689" s="5" t="s">
        <v>5175</v>
      </c>
      <c r="G689" s="5" t="s">
        <v>3884</v>
      </c>
      <c r="I689" s="6">
        <v>128</v>
      </c>
    </row>
    <row r="690" spans="1:9" x14ac:dyDescent="0.25">
      <c r="A690" t="s">
        <v>1320</v>
      </c>
      <c r="B690" s="9">
        <v>0</v>
      </c>
      <c r="C690">
        <v>150</v>
      </c>
      <c r="D690" s="9" t="s">
        <v>1321</v>
      </c>
      <c r="F690" s="5" t="s">
        <v>5176</v>
      </c>
      <c r="G690" s="5" t="s">
        <v>3884</v>
      </c>
      <c r="H690" s="5" t="s">
        <v>5177</v>
      </c>
      <c r="I690" s="6"/>
    </row>
    <row r="691" spans="1:9" x14ac:dyDescent="0.25">
      <c r="A691" t="s">
        <v>1322</v>
      </c>
      <c r="B691" s="9">
        <v>0</v>
      </c>
      <c r="C691">
        <v>150</v>
      </c>
      <c r="D691" s="9" t="s">
        <v>1323</v>
      </c>
      <c r="F691" s="5" t="s">
        <v>5178</v>
      </c>
      <c r="G691" s="5" t="s">
        <v>3884</v>
      </c>
      <c r="I691" s="6">
        <v>23</v>
      </c>
    </row>
    <row r="692" spans="1:9" x14ac:dyDescent="0.25">
      <c r="A692" t="s">
        <v>1324</v>
      </c>
      <c r="B692" s="9">
        <v>0</v>
      </c>
      <c r="C692">
        <v>150</v>
      </c>
      <c r="D692" s="9" t="s">
        <v>1325</v>
      </c>
      <c r="F692" s="5" t="s">
        <v>5179</v>
      </c>
      <c r="G692" s="5" t="s">
        <v>3884</v>
      </c>
      <c r="H692" s="5" t="s">
        <v>5180</v>
      </c>
      <c r="I692" s="6">
        <v>23</v>
      </c>
    </row>
    <row r="693" spans="1:9" x14ac:dyDescent="0.25">
      <c r="A693" t="s">
        <v>1326</v>
      </c>
      <c r="B693" s="9">
        <v>-150</v>
      </c>
      <c r="C693">
        <v>150</v>
      </c>
      <c r="D693" s="9" t="s">
        <v>1327</v>
      </c>
      <c r="F693" s="5" t="s">
        <v>5181</v>
      </c>
      <c r="G693" s="5" t="s">
        <v>3884</v>
      </c>
      <c r="H693" s="5" t="s">
        <v>5182</v>
      </c>
      <c r="I693" s="6"/>
    </row>
    <row r="694" spans="1:9" x14ac:dyDescent="0.25">
      <c r="A694" t="s">
        <v>1328</v>
      </c>
      <c r="B694" s="9">
        <v>0</v>
      </c>
      <c r="C694">
        <v>150</v>
      </c>
      <c r="D694" s="9" t="s">
        <v>1329</v>
      </c>
      <c r="F694" s="5" t="s">
        <v>5183</v>
      </c>
      <c r="G694" s="5" t="s">
        <v>3884</v>
      </c>
      <c r="H694" s="5" t="s">
        <v>5184</v>
      </c>
      <c r="I694" s="6"/>
    </row>
    <row r="695" spans="1:9" x14ac:dyDescent="0.25">
      <c r="A695" t="s">
        <v>1330</v>
      </c>
      <c r="B695" s="9">
        <v>0</v>
      </c>
      <c r="C695">
        <v>150</v>
      </c>
      <c r="D695" s="9" t="s">
        <v>1331</v>
      </c>
      <c r="F695" s="5" t="s">
        <v>5185</v>
      </c>
      <c r="G695" s="5" t="s">
        <v>3884</v>
      </c>
      <c r="H695" s="5" t="s">
        <v>5186</v>
      </c>
      <c r="I695" s="6"/>
    </row>
    <row r="696" spans="1:9" x14ac:dyDescent="0.25">
      <c r="A696" t="s">
        <v>1332</v>
      </c>
      <c r="B696" s="9">
        <v>0</v>
      </c>
      <c r="C696">
        <v>150</v>
      </c>
      <c r="D696" s="9" t="s">
        <v>1333</v>
      </c>
      <c r="F696" s="5" t="s">
        <v>5187</v>
      </c>
      <c r="G696" s="5" t="s">
        <v>3884</v>
      </c>
      <c r="I696" s="6">
        <v>62</v>
      </c>
    </row>
    <row r="697" spans="1:9" x14ac:dyDescent="0.25">
      <c r="A697" t="s">
        <v>1334</v>
      </c>
      <c r="B697" s="9">
        <v>0</v>
      </c>
      <c r="C697">
        <v>150</v>
      </c>
      <c r="D697" s="9" t="s">
        <v>1335</v>
      </c>
      <c r="F697" s="5" t="s">
        <v>5188</v>
      </c>
      <c r="G697" s="5" t="s">
        <v>3884</v>
      </c>
      <c r="H697" s="5" t="s">
        <v>5189</v>
      </c>
      <c r="I697" s="6"/>
    </row>
    <row r="698" spans="1:9" x14ac:dyDescent="0.25">
      <c r="A698" t="s">
        <v>1336</v>
      </c>
      <c r="B698" s="9">
        <v>0</v>
      </c>
      <c r="C698">
        <v>150</v>
      </c>
      <c r="D698" s="9" t="s">
        <v>1337</v>
      </c>
      <c r="F698" s="5" t="s">
        <v>5190</v>
      </c>
      <c r="G698" s="5" t="s">
        <v>3884</v>
      </c>
      <c r="H698" s="5" t="s">
        <v>5191</v>
      </c>
      <c r="I698" s="6"/>
    </row>
    <row r="699" spans="1:9" x14ac:dyDescent="0.25">
      <c r="A699" t="s">
        <v>1338</v>
      </c>
      <c r="B699" s="9">
        <v>0</v>
      </c>
      <c r="C699">
        <v>150</v>
      </c>
      <c r="D699" s="9" t="s">
        <v>1339</v>
      </c>
      <c r="F699" s="5" t="s">
        <v>5192</v>
      </c>
      <c r="G699" s="5" t="s">
        <v>3884</v>
      </c>
      <c r="H699" s="5" t="s">
        <v>5193</v>
      </c>
      <c r="I699" s="6"/>
    </row>
    <row r="700" spans="1:9" x14ac:dyDescent="0.25">
      <c r="A700" t="s">
        <v>1340</v>
      </c>
      <c r="B700" s="9">
        <v>0</v>
      </c>
      <c r="C700">
        <v>150</v>
      </c>
      <c r="D700" s="9" t="s">
        <v>1341</v>
      </c>
      <c r="F700" s="5" t="s">
        <v>5194</v>
      </c>
      <c r="G700" s="5" t="s">
        <v>3884</v>
      </c>
      <c r="H700" s="5" t="s">
        <v>5195</v>
      </c>
      <c r="I700" s="6">
        <v>62</v>
      </c>
    </row>
    <row r="701" spans="1:9" x14ac:dyDescent="0.25">
      <c r="A701" t="s">
        <v>1342</v>
      </c>
      <c r="B701" s="9">
        <v>0</v>
      </c>
      <c r="C701">
        <v>150</v>
      </c>
      <c r="D701" s="9" t="s">
        <v>1343</v>
      </c>
      <c r="F701" s="5" t="s">
        <v>5196</v>
      </c>
      <c r="G701" s="5" t="s">
        <v>3878</v>
      </c>
      <c r="I701" s="6"/>
    </row>
    <row r="702" spans="1:9" x14ac:dyDescent="0.25">
      <c r="A702" t="s">
        <v>1344</v>
      </c>
      <c r="B702" s="9">
        <v>-150</v>
      </c>
      <c r="C702">
        <v>150</v>
      </c>
      <c r="D702" s="9" t="s">
        <v>1345</v>
      </c>
      <c r="F702" s="5" t="s">
        <v>5197</v>
      </c>
      <c r="G702" s="5" t="s">
        <v>3870</v>
      </c>
      <c r="H702" s="5" t="s">
        <v>5198</v>
      </c>
      <c r="I702" s="6"/>
    </row>
    <row r="703" spans="1:9" x14ac:dyDescent="0.25">
      <c r="A703" t="s">
        <v>1346</v>
      </c>
      <c r="B703" s="9">
        <v>0</v>
      </c>
      <c r="C703">
        <v>150</v>
      </c>
      <c r="D703" s="9" t="s">
        <v>1347</v>
      </c>
      <c r="F703" s="5" t="s">
        <v>5199</v>
      </c>
      <c r="G703" s="5" t="s">
        <v>3884</v>
      </c>
      <c r="H703" s="5" t="s">
        <v>5200</v>
      </c>
      <c r="I703" s="6"/>
    </row>
    <row r="704" spans="1:9" x14ac:dyDescent="0.25">
      <c r="A704" t="s">
        <v>1348</v>
      </c>
      <c r="B704" s="9">
        <v>0</v>
      </c>
      <c r="C704">
        <v>150</v>
      </c>
      <c r="D704" s="9" t="s">
        <v>1349</v>
      </c>
      <c r="F704" s="5" t="s">
        <v>5201</v>
      </c>
      <c r="G704" s="5" t="s">
        <v>3884</v>
      </c>
      <c r="H704" s="5" t="s">
        <v>5202</v>
      </c>
      <c r="I704" s="6">
        <v>58</v>
      </c>
    </row>
    <row r="705" spans="1:9" x14ac:dyDescent="0.25">
      <c r="A705" t="s">
        <v>1350</v>
      </c>
      <c r="B705" s="9">
        <v>-150</v>
      </c>
      <c r="C705">
        <v>150</v>
      </c>
      <c r="D705" s="9" t="s">
        <v>1351</v>
      </c>
      <c r="F705" s="5" t="s">
        <v>5203</v>
      </c>
      <c r="G705" s="5" t="s">
        <v>3870</v>
      </c>
      <c r="H705" s="5" t="s">
        <v>5204</v>
      </c>
      <c r="I705" s="6"/>
    </row>
    <row r="706" spans="1:9" x14ac:dyDescent="0.25">
      <c r="A706" t="s">
        <v>1352</v>
      </c>
      <c r="B706" s="9">
        <v>0</v>
      </c>
      <c r="C706">
        <v>150</v>
      </c>
      <c r="D706" s="9" t="s">
        <v>6914</v>
      </c>
      <c r="F706" s="5" t="s">
        <v>5205</v>
      </c>
      <c r="G706" s="5" t="s">
        <v>4020</v>
      </c>
      <c r="H706" s="5" t="s">
        <v>5206</v>
      </c>
      <c r="I706" s="6">
        <v>22</v>
      </c>
    </row>
    <row r="707" spans="1:9" x14ac:dyDescent="0.25">
      <c r="A707" t="s">
        <v>1353</v>
      </c>
      <c r="B707" s="9">
        <v>0</v>
      </c>
      <c r="C707">
        <v>150</v>
      </c>
      <c r="D707" s="9" t="s">
        <v>1354</v>
      </c>
      <c r="F707" s="5" t="s">
        <v>5207</v>
      </c>
      <c r="G707" s="5" t="s">
        <v>3884</v>
      </c>
      <c r="H707" s="5" t="s">
        <v>5208</v>
      </c>
      <c r="I707" s="6"/>
    </row>
    <row r="708" spans="1:9" x14ac:dyDescent="0.25">
      <c r="A708" t="s">
        <v>1355</v>
      </c>
      <c r="B708" s="9">
        <v>0</v>
      </c>
      <c r="C708">
        <v>150</v>
      </c>
      <c r="D708" s="9" t="s">
        <v>1356</v>
      </c>
      <c r="F708" s="5" t="s">
        <v>5209</v>
      </c>
      <c r="G708" s="5" t="s">
        <v>3884</v>
      </c>
      <c r="I708" s="6"/>
    </row>
    <row r="709" spans="1:9" x14ac:dyDescent="0.25">
      <c r="A709" t="s">
        <v>1357</v>
      </c>
      <c r="B709" s="9">
        <v>-150</v>
      </c>
      <c r="C709">
        <v>150</v>
      </c>
      <c r="D709" s="9" t="s">
        <v>1358</v>
      </c>
      <c r="F709" s="5" t="s">
        <v>5210</v>
      </c>
      <c r="G709" s="5" t="s">
        <v>3949</v>
      </c>
      <c r="I709" s="6"/>
    </row>
    <row r="710" spans="1:9" x14ac:dyDescent="0.25">
      <c r="A710" t="s">
        <v>1359</v>
      </c>
      <c r="B710" s="9">
        <v>0</v>
      </c>
      <c r="C710">
        <v>150</v>
      </c>
      <c r="D710" s="9" t="s">
        <v>1360</v>
      </c>
      <c r="F710" s="5" t="s">
        <v>5211</v>
      </c>
      <c r="G710" s="5" t="s">
        <v>3894</v>
      </c>
      <c r="I710" s="6"/>
    </row>
    <row r="711" spans="1:9" x14ac:dyDescent="0.25">
      <c r="A711" t="s">
        <v>1361</v>
      </c>
      <c r="B711" s="9">
        <v>0</v>
      </c>
      <c r="C711">
        <v>150</v>
      </c>
      <c r="D711" s="9" t="s">
        <v>1362</v>
      </c>
      <c r="F711" s="5" t="s">
        <v>5212</v>
      </c>
      <c r="G711" s="5" t="s">
        <v>3878</v>
      </c>
      <c r="H711" s="5" t="s">
        <v>5213</v>
      </c>
      <c r="I711" s="6"/>
    </row>
    <row r="712" spans="1:9" x14ac:dyDescent="0.25">
      <c r="A712" t="s">
        <v>1363</v>
      </c>
      <c r="B712" s="9">
        <v>0</v>
      </c>
      <c r="C712">
        <v>150</v>
      </c>
      <c r="D712" s="9" t="s">
        <v>1364</v>
      </c>
      <c r="F712" s="5" t="s">
        <v>5214</v>
      </c>
      <c r="G712" s="5" t="s">
        <v>3878</v>
      </c>
      <c r="H712" s="5" t="s">
        <v>5215</v>
      </c>
      <c r="I712" s="6"/>
    </row>
    <row r="713" spans="1:9" x14ac:dyDescent="0.25">
      <c r="A713" t="s">
        <v>1365</v>
      </c>
      <c r="B713" s="9">
        <v>0</v>
      </c>
      <c r="C713">
        <v>150</v>
      </c>
      <c r="D713" s="9" t="s">
        <v>6915</v>
      </c>
      <c r="F713" s="5" t="s">
        <v>5216</v>
      </c>
      <c r="G713" s="5" t="s">
        <v>3878</v>
      </c>
      <c r="H713" s="5" t="s">
        <v>5217</v>
      </c>
      <c r="I713" s="6"/>
    </row>
    <row r="714" spans="1:9" x14ac:dyDescent="0.25">
      <c r="A714" t="s">
        <v>1366</v>
      </c>
      <c r="B714" s="9">
        <v>0</v>
      </c>
      <c r="C714">
        <v>150</v>
      </c>
      <c r="D714" s="9" t="s">
        <v>1367</v>
      </c>
      <c r="F714" s="5" t="s">
        <v>5218</v>
      </c>
      <c r="G714" s="5" t="s">
        <v>3949</v>
      </c>
      <c r="H714" s="5" t="s">
        <v>5219</v>
      </c>
      <c r="I714" s="6"/>
    </row>
    <row r="715" spans="1:9" x14ac:dyDescent="0.25">
      <c r="A715" t="s">
        <v>1368</v>
      </c>
      <c r="B715" s="9">
        <v>-150</v>
      </c>
      <c r="C715">
        <v>150</v>
      </c>
      <c r="D715" s="9" t="s">
        <v>1369</v>
      </c>
      <c r="F715" s="5" t="s">
        <v>5224</v>
      </c>
      <c r="G715" s="5" t="s">
        <v>3949</v>
      </c>
      <c r="I715" s="6"/>
    </row>
    <row r="716" spans="1:9" x14ac:dyDescent="0.25">
      <c r="A716" t="s">
        <v>1370</v>
      </c>
      <c r="B716" s="9">
        <v>0</v>
      </c>
      <c r="C716">
        <v>150</v>
      </c>
      <c r="D716" s="9" t="s">
        <v>1371</v>
      </c>
      <c r="F716" s="5" t="s">
        <v>5225</v>
      </c>
      <c r="G716" s="5" t="s">
        <v>3949</v>
      </c>
      <c r="H716" s="5" t="s">
        <v>5226</v>
      </c>
      <c r="I716" s="6"/>
    </row>
    <row r="717" spans="1:9" x14ac:dyDescent="0.25">
      <c r="A717" t="s">
        <v>1372</v>
      </c>
      <c r="B717" s="9">
        <v>0</v>
      </c>
      <c r="C717">
        <v>150</v>
      </c>
      <c r="D717" s="9" t="s">
        <v>1373</v>
      </c>
      <c r="F717" s="5" t="s">
        <v>5230</v>
      </c>
      <c r="G717" s="5" t="s">
        <v>3884</v>
      </c>
      <c r="I717" s="6"/>
    </row>
    <row r="718" spans="1:9" x14ac:dyDescent="0.25">
      <c r="A718" t="s">
        <v>1374</v>
      </c>
      <c r="B718" s="9">
        <v>-150</v>
      </c>
      <c r="C718">
        <v>150</v>
      </c>
      <c r="D718" s="9" t="s">
        <v>1375</v>
      </c>
      <c r="F718" s="5" t="s">
        <v>5233</v>
      </c>
      <c r="G718" s="5" t="s">
        <v>3920</v>
      </c>
      <c r="H718" s="5" t="s">
        <v>4575</v>
      </c>
      <c r="I718" s="6"/>
    </row>
    <row r="719" spans="1:9" x14ac:dyDescent="0.25">
      <c r="A719" t="s">
        <v>1376</v>
      </c>
      <c r="B719" s="9">
        <v>0</v>
      </c>
      <c r="C719">
        <v>150</v>
      </c>
      <c r="D719" s="9" t="s">
        <v>1377</v>
      </c>
      <c r="F719" s="5" t="s">
        <v>5234</v>
      </c>
      <c r="G719" s="5" t="s">
        <v>4004</v>
      </c>
      <c r="H719" s="5" t="s">
        <v>5235</v>
      </c>
      <c r="I719" s="6"/>
    </row>
    <row r="720" spans="1:9" x14ac:dyDescent="0.25">
      <c r="A720" t="s">
        <v>1378</v>
      </c>
      <c r="B720" s="9">
        <v>0</v>
      </c>
      <c r="C720">
        <v>150</v>
      </c>
      <c r="D720" s="9" t="s">
        <v>1379</v>
      </c>
      <c r="F720" s="5" t="s">
        <v>5236</v>
      </c>
      <c r="G720" s="5" t="s">
        <v>3870</v>
      </c>
      <c r="I720" s="6">
        <v>120</v>
      </c>
    </row>
    <row r="721" spans="1:9" x14ac:dyDescent="0.25">
      <c r="A721" t="s">
        <v>1380</v>
      </c>
      <c r="B721" s="9">
        <v>0</v>
      </c>
      <c r="C721">
        <v>150</v>
      </c>
      <c r="D721" s="9" t="s">
        <v>1381</v>
      </c>
      <c r="F721" s="5" t="s">
        <v>5240</v>
      </c>
      <c r="G721" s="5" t="s">
        <v>3949</v>
      </c>
      <c r="H721" s="5" t="s">
        <v>5241</v>
      </c>
      <c r="I721" s="6"/>
    </row>
    <row r="722" spans="1:9" x14ac:dyDescent="0.25">
      <c r="A722" t="s">
        <v>1382</v>
      </c>
      <c r="B722" s="9">
        <v>-150</v>
      </c>
      <c r="C722">
        <v>150</v>
      </c>
      <c r="D722" s="9" t="s">
        <v>1383</v>
      </c>
      <c r="F722" s="5" t="s">
        <v>5244</v>
      </c>
      <c r="G722" s="5" t="s">
        <v>3870</v>
      </c>
      <c r="H722" s="5" t="s">
        <v>5245</v>
      </c>
      <c r="I722" s="6"/>
    </row>
    <row r="723" spans="1:9" x14ac:dyDescent="0.25">
      <c r="A723" t="s">
        <v>1384</v>
      </c>
      <c r="B723" s="9">
        <v>0</v>
      </c>
      <c r="C723">
        <v>150</v>
      </c>
      <c r="D723" s="9" t="s">
        <v>1385</v>
      </c>
      <c r="F723" s="5" t="s">
        <v>5244</v>
      </c>
      <c r="G723" s="5" t="s">
        <v>3870</v>
      </c>
      <c r="H723" s="5" t="s">
        <v>5245</v>
      </c>
      <c r="I723" s="6"/>
    </row>
    <row r="724" spans="1:9" x14ac:dyDescent="0.25">
      <c r="A724" t="s">
        <v>1386</v>
      </c>
      <c r="B724" s="9">
        <v>0</v>
      </c>
      <c r="C724">
        <v>150</v>
      </c>
      <c r="D724" s="9" t="s">
        <v>1387</v>
      </c>
      <c r="F724" s="5" t="s">
        <v>5246</v>
      </c>
      <c r="G724" s="5" t="s">
        <v>3870</v>
      </c>
      <c r="H724" s="5" t="s">
        <v>5247</v>
      </c>
      <c r="I724" s="6"/>
    </row>
  </sheetData>
  <sortState ref="L727:M1076">
    <sortCondition ref="L726"/>
  </sortState>
  <conditionalFormatting sqref="A1:A642 A644:A1048576">
    <cfRule type="duplicateValues" dxfId="49" priority="33"/>
  </conditionalFormatting>
  <conditionalFormatting sqref="D1:D642 D644:D1048576">
    <cfRule type="duplicateValues" dxfId="48" priority="34"/>
  </conditionalFormatting>
  <conditionalFormatting sqref="M1:M1048576 D1:D642 D644:D1048576">
    <cfRule type="duplicateValues" dxfId="47" priority="6"/>
  </conditionalFormatting>
  <conditionalFormatting sqref="L1:L1048576 A1:A642 A644:A1048576">
    <cfRule type="duplicateValues" dxfId="46" priority="5"/>
  </conditionalFormatting>
  <conditionalFormatting sqref="A643">
    <cfRule type="duplicateValues" dxfId="45" priority="3"/>
  </conditionalFormatting>
  <conditionalFormatting sqref="D643">
    <cfRule type="duplicateValues" dxfId="44" priority="4"/>
  </conditionalFormatting>
  <conditionalFormatting sqref="D643">
    <cfRule type="duplicateValues" dxfId="43" priority="2"/>
  </conditionalFormatting>
  <conditionalFormatting sqref="A643">
    <cfRule type="duplicateValues" dxfId="4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J2"/>
  <sheetViews>
    <sheetView workbookViewId="0">
      <selection activeCellId="1" sqref="D1 A1"/>
    </sheetView>
  </sheetViews>
  <sheetFormatPr defaultRowHeight="15" x14ac:dyDescent="0.25"/>
  <cols>
    <col min="2" max="2" width="9.140625" style="9"/>
    <col min="4" max="4" width="9.140625" style="9"/>
  </cols>
  <sheetData>
    <row r="1" spans="1:10" s="36" customFormat="1" ht="15.75" thickBot="1" x14ac:dyDescent="0.3">
      <c r="A1" s="50" t="s">
        <v>6932</v>
      </c>
      <c r="B1" s="16" t="s">
        <v>5</v>
      </c>
      <c r="C1" s="15" t="s">
        <v>6</v>
      </c>
      <c r="D1" s="49" t="s">
        <v>6931</v>
      </c>
      <c r="G1" s="38" t="s">
        <v>6422</v>
      </c>
    </row>
    <row r="2" spans="1:10" x14ac:dyDescent="0.25">
      <c r="A2" t="s">
        <v>1678</v>
      </c>
      <c r="B2" s="9">
        <v>0</v>
      </c>
      <c r="C2">
        <v>150</v>
      </c>
      <c r="D2" s="9" t="s">
        <v>6417</v>
      </c>
      <c r="G2" s="5" t="s">
        <v>3862</v>
      </c>
      <c r="J2" s="9" t="s">
        <v>6930</v>
      </c>
    </row>
  </sheetData>
  <conditionalFormatting sqref="D4">
    <cfRule type="duplicateValues" dxfId="41" priority="7"/>
  </conditionalFormatting>
  <conditionalFormatting sqref="B19:E70">
    <cfRule type="duplicateValues" dxfId="40" priority="5"/>
  </conditionalFormatting>
  <conditionalFormatting sqref="A1">
    <cfRule type="duplicateValues" dxfId="39" priority="3"/>
  </conditionalFormatting>
  <conditionalFormatting sqref="D1">
    <cfRule type="duplicateValues" dxfId="38" priority="4"/>
  </conditionalFormatting>
  <conditionalFormatting sqref="D1">
    <cfRule type="duplicateValues" dxfId="37" priority="2"/>
  </conditionalFormatting>
  <conditionalFormatting sqref="A1">
    <cfRule type="duplicateValues" dxfId="36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M433"/>
  <sheetViews>
    <sheetView zoomScale="90" zoomScaleNormal="90" workbookViewId="0">
      <selection activeCellId="2" sqref="F1 D1 A1"/>
    </sheetView>
  </sheetViews>
  <sheetFormatPr defaultColWidth="9.140625" defaultRowHeight="15" x14ac:dyDescent="0.25"/>
  <cols>
    <col min="1" max="1" width="13.5703125" customWidth="1"/>
    <col min="2" max="2" width="16.7109375" style="9" bestFit="1" customWidth="1"/>
    <col min="3" max="3" width="16.7109375" bestFit="1" customWidth="1"/>
    <col min="4" max="4" width="46.7109375" style="9" customWidth="1"/>
    <col min="5" max="5" width="41.5703125" customWidth="1"/>
    <col min="6" max="6" width="33.85546875" customWidth="1"/>
    <col min="7" max="7" width="18.140625" style="9" customWidth="1"/>
    <col min="8" max="8" width="7.140625" customWidth="1"/>
    <col min="9" max="9" width="40" style="5" customWidth="1"/>
    <col min="10" max="10" width="68.140625" style="5" customWidth="1"/>
    <col min="11" max="11" width="22.85546875" style="5" customWidth="1"/>
    <col min="12" max="12" width="8.140625" style="5" customWidth="1"/>
    <col min="13" max="13" width="9.140625" style="5" customWidth="1"/>
  </cols>
  <sheetData>
    <row r="1" spans="1:13" s="15" customFormat="1" ht="15.75" thickBot="1" x14ac:dyDescent="0.3">
      <c r="A1" s="50" t="s">
        <v>6932</v>
      </c>
      <c r="B1" s="16" t="s">
        <v>5</v>
      </c>
      <c r="C1" s="15" t="s">
        <v>6</v>
      </c>
      <c r="D1" s="49" t="s">
        <v>6931</v>
      </c>
      <c r="E1" s="15" t="s">
        <v>1679</v>
      </c>
      <c r="F1" s="48" t="s">
        <v>6933</v>
      </c>
      <c r="G1" s="16" t="s">
        <v>1681</v>
      </c>
      <c r="I1" s="33" t="s">
        <v>3863</v>
      </c>
      <c r="J1" s="38" t="s">
        <v>6691</v>
      </c>
      <c r="K1" s="38" t="s">
        <v>3864</v>
      </c>
      <c r="L1" s="38" t="s">
        <v>6692</v>
      </c>
      <c r="M1" s="38" t="s">
        <v>6693</v>
      </c>
    </row>
    <row r="2" spans="1:13" x14ac:dyDescent="0.25">
      <c r="A2" t="s">
        <v>1682</v>
      </c>
      <c r="B2" s="9">
        <v>-150</v>
      </c>
      <c r="C2">
        <v>150</v>
      </c>
      <c r="D2" s="9" t="s">
        <v>1683</v>
      </c>
      <c r="F2" t="s">
        <v>3656</v>
      </c>
      <c r="G2" s="9" t="s">
        <v>3849</v>
      </c>
      <c r="I2" s="5" t="s">
        <v>3867</v>
      </c>
      <c r="J2" s="5" t="s">
        <v>6424</v>
      </c>
      <c r="K2" s="5" t="s">
        <v>3868</v>
      </c>
      <c r="M2" s="6">
        <v>125</v>
      </c>
    </row>
    <row r="3" spans="1:13" x14ac:dyDescent="0.25">
      <c r="A3" t="s">
        <v>1684</v>
      </c>
      <c r="B3" s="9">
        <v>0</v>
      </c>
      <c r="C3">
        <v>150</v>
      </c>
      <c r="D3" s="9" t="s">
        <v>1685</v>
      </c>
      <c r="F3" t="s">
        <v>3657</v>
      </c>
      <c r="G3" s="9" t="s">
        <v>3849</v>
      </c>
      <c r="I3" s="5" t="s">
        <v>3898</v>
      </c>
      <c r="J3" s="5" t="s">
        <v>6425</v>
      </c>
      <c r="K3" s="5" t="s">
        <v>3868</v>
      </c>
      <c r="M3" s="6"/>
    </row>
    <row r="4" spans="1:13" x14ac:dyDescent="0.25">
      <c r="A4" t="s">
        <v>1686</v>
      </c>
      <c r="B4" s="9">
        <v>-150</v>
      </c>
      <c r="C4">
        <v>150</v>
      </c>
      <c r="D4" s="9" t="s">
        <v>1687</v>
      </c>
      <c r="F4" t="s">
        <v>3659</v>
      </c>
      <c r="G4" s="9" t="s">
        <v>3849</v>
      </c>
      <c r="I4" s="5" t="s">
        <v>3903</v>
      </c>
      <c r="J4" s="5" t="s">
        <v>6426</v>
      </c>
      <c r="K4" s="5" t="s">
        <v>3904</v>
      </c>
      <c r="M4" s="6"/>
    </row>
    <row r="5" spans="1:13" x14ac:dyDescent="0.25">
      <c r="A5" t="s">
        <v>1688</v>
      </c>
      <c r="B5" s="9">
        <v>-150</v>
      </c>
      <c r="C5">
        <v>150</v>
      </c>
      <c r="D5" s="9" t="s">
        <v>1689</v>
      </c>
      <c r="F5" t="s">
        <v>3660</v>
      </c>
      <c r="G5" s="9" t="s">
        <v>3849</v>
      </c>
      <c r="I5" s="5" t="s">
        <v>3907</v>
      </c>
      <c r="J5" s="5" t="s">
        <v>6427</v>
      </c>
      <c r="K5" s="5" t="s">
        <v>3868</v>
      </c>
      <c r="M5" s="6"/>
    </row>
    <row r="6" spans="1:13" x14ac:dyDescent="0.25">
      <c r="A6" t="s">
        <v>1690</v>
      </c>
      <c r="B6" s="9">
        <v>-150</v>
      </c>
      <c r="C6">
        <v>150</v>
      </c>
      <c r="D6" s="9" t="s">
        <v>3558</v>
      </c>
      <c r="E6" t="s">
        <v>3616</v>
      </c>
      <c r="F6" t="s">
        <v>3661</v>
      </c>
      <c r="G6" s="9" t="s">
        <v>3849</v>
      </c>
      <c r="I6" s="5" t="s">
        <v>3914</v>
      </c>
      <c r="J6" s="5" t="s">
        <v>6428</v>
      </c>
      <c r="K6" s="5" t="s">
        <v>3868</v>
      </c>
      <c r="M6" s="6">
        <v>132</v>
      </c>
    </row>
    <row r="7" spans="1:13" x14ac:dyDescent="0.25">
      <c r="A7" t="s">
        <v>1692</v>
      </c>
      <c r="B7" s="9">
        <v>-150</v>
      </c>
      <c r="C7">
        <v>150</v>
      </c>
      <c r="D7" s="9" t="s">
        <v>3559</v>
      </c>
      <c r="E7" t="s">
        <v>3617</v>
      </c>
      <c r="F7" t="s">
        <v>3662</v>
      </c>
      <c r="G7" s="9" t="s">
        <v>3849</v>
      </c>
      <c r="I7" s="5" t="s">
        <v>3927</v>
      </c>
      <c r="J7" s="5" t="s">
        <v>6429</v>
      </c>
      <c r="K7" s="5" t="s">
        <v>3868</v>
      </c>
      <c r="M7" s="6">
        <v>84</v>
      </c>
    </row>
    <row r="8" spans="1:13" x14ac:dyDescent="0.25">
      <c r="A8" t="s">
        <v>1694</v>
      </c>
      <c r="B8" s="9">
        <v>-150</v>
      </c>
      <c r="C8">
        <v>150</v>
      </c>
      <c r="D8" s="9" t="s">
        <v>1695</v>
      </c>
      <c r="F8" t="s">
        <v>3664</v>
      </c>
      <c r="G8" s="9" t="s">
        <v>3849</v>
      </c>
      <c r="I8" s="5" t="s">
        <v>3928</v>
      </c>
      <c r="J8" s="5" t="s">
        <v>6430</v>
      </c>
      <c r="K8" s="5" t="s">
        <v>3868</v>
      </c>
      <c r="M8" s="6"/>
    </row>
    <row r="9" spans="1:13" x14ac:dyDescent="0.25">
      <c r="A9" t="s">
        <v>1696</v>
      </c>
      <c r="B9" s="9">
        <v>-150</v>
      </c>
      <c r="C9">
        <v>150</v>
      </c>
      <c r="D9" s="9" t="s">
        <v>1697</v>
      </c>
      <c r="F9" t="s">
        <v>3666</v>
      </c>
      <c r="G9" s="9" t="s">
        <v>3849</v>
      </c>
      <c r="I9" s="5" t="s">
        <v>3947</v>
      </c>
      <c r="J9" s="5" t="s">
        <v>6431</v>
      </c>
      <c r="K9" s="5" t="s">
        <v>3868</v>
      </c>
      <c r="M9" s="6"/>
    </row>
    <row r="10" spans="1:13" x14ac:dyDescent="0.25">
      <c r="A10" t="s">
        <v>1698</v>
      </c>
      <c r="B10" s="9">
        <v>-150</v>
      </c>
      <c r="C10">
        <v>150</v>
      </c>
      <c r="D10" s="9" t="s">
        <v>1699</v>
      </c>
      <c r="F10" t="s">
        <v>3667</v>
      </c>
      <c r="G10" s="9" t="s">
        <v>3849</v>
      </c>
      <c r="I10" s="5" t="s">
        <v>3955</v>
      </c>
      <c r="J10" s="5" t="s">
        <v>6432</v>
      </c>
      <c r="K10" s="5" t="s">
        <v>3868</v>
      </c>
      <c r="M10" s="6"/>
    </row>
    <row r="11" spans="1:13" x14ac:dyDescent="0.25">
      <c r="A11" t="s">
        <v>1700</v>
      </c>
      <c r="B11" s="9">
        <v>-150</v>
      </c>
      <c r="C11">
        <v>150</v>
      </c>
      <c r="D11" s="9" t="s">
        <v>1701</v>
      </c>
      <c r="F11" t="s">
        <v>3636</v>
      </c>
      <c r="G11" s="9" t="s">
        <v>3849</v>
      </c>
      <c r="I11" s="5" t="s">
        <v>3968</v>
      </c>
      <c r="J11" s="5" t="s">
        <v>6433</v>
      </c>
      <c r="K11" s="5" t="s">
        <v>3868</v>
      </c>
      <c r="M11" s="6"/>
    </row>
    <row r="12" spans="1:13" x14ac:dyDescent="0.25">
      <c r="A12" t="s">
        <v>1702</v>
      </c>
      <c r="B12" s="9">
        <v>-150</v>
      </c>
      <c r="C12">
        <v>150</v>
      </c>
      <c r="D12" s="9" t="s">
        <v>1703</v>
      </c>
      <c r="F12" t="s">
        <v>3669</v>
      </c>
      <c r="G12" s="9" t="s">
        <v>3849</v>
      </c>
      <c r="I12" s="5" t="s">
        <v>3999</v>
      </c>
      <c r="J12" s="5" t="s">
        <v>6436</v>
      </c>
      <c r="K12" s="5" t="s">
        <v>3868</v>
      </c>
      <c r="M12" s="6"/>
    </row>
    <row r="13" spans="1:13" x14ac:dyDescent="0.25">
      <c r="A13" t="s">
        <v>1704</v>
      </c>
      <c r="B13" s="9">
        <v>0</v>
      </c>
      <c r="C13">
        <v>150</v>
      </c>
      <c r="D13" s="9" t="s">
        <v>6849</v>
      </c>
      <c r="E13" t="s">
        <v>6635</v>
      </c>
      <c r="F13" t="s">
        <v>3670</v>
      </c>
      <c r="G13" s="9" t="s">
        <v>3849</v>
      </c>
      <c r="I13" s="5" t="s">
        <v>4000</v>
      </c>
      <c r="J13" s="5" t="s">
        <v>6437</v>
      </c>
      <c r="K13" s="5" t="s">
        <v>3868</v>
      </c>
      <c r="M13" s="6">
        <v>93</v>
      </c>
    </row>
    <row r="14" spans="1:13" x14ac:dyDescent="0.25">
      <c r="A14" t="s">
        <v>4006</v>
      </c>
      <c r="B14" s="9">
        <v>-150</v>
      </c>
      <c r="C14">
        <v>150</v>
      </c>
      <c r="D14" s="9" t="s">
        <v>1707</v>
      </c>
      <c r="F14" t="s">
        <v>3670</v>
      </c>
      <c r="G14" s="9" t="s">
        <v>3849</v>
      </c>
      <c r="I14" s="5" t="s">
        <v>6439</v>
      </c>
      <c r="J14" s="5" t="s">
        <v>6438</v>
      </c>
      <c r="K14" s="5" t="s">
        <v>4004</v>
      </c>
      <c r="L14" s="5" t="s">
        <v>4005</v>
      </c>
      <c r="M14" s="6"/>
    </row>
    <row r="15" spans="1:13" x14ac:dyDescent="0.25">
      <c r="A15" t="s">
        <v>1708</v>
      </c>
      <c r="B15" s="9">
        <v>-150</v>
      </c>
      <c r="C15">
        <v>150</v>
      </c>
      <c r="D15" s="9" t="s">
        <v>1709</v>
      </c>
      <c r="F15" t="s">
        <v>3671</v>
      </c>
      <c r="G15" s="9" t="s">
        <v>3849</v>
      </c>
      <c r="I15" s="5" t="s">
        <v>4024</v>
      </c>
      <c r="J15" s="5" t="s">
        <v>6441</v>
      </c>
      <c r="K15" s="5" t="s">
        <v>3904</v>
      </c>
      <c r="M15" s="6"/>
    </row>
    <row r="16" spans="1:13" x14ac:dyDescent="0.25">
      <c r="A16" t="s">
        <v>1710</v>
      </c>
      <c r="B16" s="9">
        <v>0</v>
      </c>
      <c r="C16">
        <v>150</v>
      </c>
      <c r="D16" s="9" t="s">
        <v>6636</v>
      </c>
      <c r="E16" t="s">
        <v>6635</v>
      </c>
      <c r="F16" t="s">
        <v>3672</v>
      </c>
      <c r="G16" s="9" t="s">
        <v>3849</v>
      </c>
      <c r="I16" s="5" t="s">
        <v>4056</v>
      </c>
      <c r="J16" s="5" t="s">
        <v>6442</v>
      </c>
      <c r="K16" s="5" t="s">
        <v>3868</v>
      </c>
      <c r="M16" s="6"/>
    </row>
    <row r="17" spans="1:13" x14ac:dyDescent="0.25">
      <c r="A17" t="s">
        <v>1712</v>
      </c>
      <c r="B17" s="9">
        <v>-150</v>
      </c>
      <c r="C17">
        <v>150</v>
      </c>
      <c r="D17" s="9" t="s">
        <v>1713</v>
      </c>
      <c r="F17" t="s">
        <v>3672</v>
      </c>
      <c r="G17" s="9" t="s">
        <v>3849</v>
      </c>
      <c r="I17" s="5" t="s">
        <v>4057</v>
      </c>
      <c r="J17" s="5" t="s">
        <v>6443</v>
      </c>
      <c r="K17" s="5" t="s">
        <v>3868</v>
      </c>
      <c r="M17" s="6"/>
    </row>
    <row r="18" spans="1:13" x14ac:dyDescent="0.25">
      <c r="A18" t="s">
        <v>1714</v>
      </c>
      <c r="B18" s="9">
        <v>0</v>
      </c>
      <c r="C18">
        <v>150</v>
      </c>
      <c r="D18" s="9" t="s">
        <v>6637</v>
      </c>
      <c r="E18" t="s">
        <v>6635</v>
      </c>
      <c r="F18" t="s">
        <v>3673</v>
      </c>
      <c r="G18" s="9" t="s">
        <v>3849</v>
      </c>
      <c r="I18" s="5" t="s">
        <v>4058</v>
      </c>
      <c r="J18" s="5" t="s">
        <v>6444</v>
      </c>
      <c r="K18" s="5" t="s">
        <v>3868</v>
      </c>
      <c r="M18" s="6"/>
    </row>
    <row r="19" spans="1:13" x14ac:dyDescent="0.25">
      <c r="A19" t="s">
        <v>1716</v>
      </c>
      <c r="B19" s="9">
        <v>-150</v>
      </c>
      <c r="C19">
        <v>150</v>
      </c>
      <c r="D19" s="9" t="s">
        <v>3563</v>
      </c>
      <c r="F19" t="s">
        <v>3674</v>
      </c>
      <c r="G19" s="9" t="s">
        <v>3849</v>
      </c>
      <c r="I19" s="5" t="s">
        <v>4061</v>
      </c>
      <c r="J19" s="5" t="s">
        <v>6445</v>
      </c>
      <c r="K19" s="5" t="s">
        <v>3904</v>
      </c>
      <c r="M19" s="6"/>
    </row>
    <row r="20" spans="1:13" x14ac:dyDescent="0.25">
      <c r="A20" t="s">
        <v>1718</v>
      </c>
      <c r="B20" s="9">
        <v>0</v>
      </c>
      <c r="C20">
        <v>150</v>
      </c>
      <c r="D20" s="9" t="s">
        <v>6638</v>
      </c>
      <c r="E20" t="s">
        <v>6635</v>
      </c>
      <c r="F20" t="s">
        <v>3675</v>
      </c>
      <c r="G20" s="9" t="s">
        <v>3849</v>
      </c>
      <c r="I20" s="5" t="s">
        <v>4069</v>
      </c>
      <c r="J20" s="5" t="s">
        <v>6446</v>
      </c>
      <c r="K20" s="5" t="s">
        <v>3868</v>
      </c>
      <c r="M20" s="6"/>
    </row>
    <row r="21" spans="1:13" x14ac:dyDescent="0.25">
      <c r="A21" t="s">
        <v>1720</v>
      </c>
      <c r="B21" s="9">
        <v>-150</v>
      </c>
      <c r="C21">
        <v>150</v>
      </c>
      <c r="D21" s="9" t="s">
        <v>1721</v>
      </c>
      <c r="F21" t="s">
        <v>3675</v>
      </c>
      <c r="G21" s="9" t="s">
        <v>3849</v>
      </c>
      <c r="I21" s="5" t="s">
        <v>4076</v>
      </c>
      <c r="J21" s="5" t="s">
        <v>6447</v>
      </c>
      <c r="K21" s="5" t="s">
        <v>3868</v>
      </c>
      <c r="M21" s="6"/>
    </row>
    <row r="22" spans="1:13" x14ac:dyDescent="0.25">
      <c r="A22" t="s">
        <v>1722</v>
      </c>
      <c r="B22" s="9">
        <v>0</v>
      </c>
      <c r="C22">
        <v>150</v>
      </c>
      <c r="D22" s="9" t="s">
        <v>6639</v>
      </c>
      <c r="E22" t="s">
        <v>6635</v>
      </c>
      <c r="F22" t="s">
        <v>3637</v>
      </c>
      <c r="G22" s="9" t="s">
        <v>3849</v>
      </c>
      <c r="I22" s="5" t="s">
        <v>4079</v>
      </c>
      <c r="J22" s="5" t="s">
        <v>6448</v>
      </c>
      <c r="K22" s="5" t="s">
        <v>3868</v>
      </c>
      <c r="M22" s="6"/>
    </row>
    <row r="23" spans="1:13" x14ac:dyDescent="0.25">
      <c r="A23" t="s">
        <v>1724</v>
      </c>
      <c r="B23" s="9">
        <v>0</v>
      </c>
      <c r="C23">
        <v>150</v>
      </c>
      <c r="D23" s="9" t="s">
        <v>1725</v>
      </c>
      <c r="F23" t="s">
        <v>3638</v>
      </c>
      <c r="G23" s="9" t="s">
        <v>3849</v>
      </c>
      <c r="I23" s="5" t="s">
        <v>4087</v>
      </c>
      <c r="J23" s="5" t="s">
        <v>6449</v>
      </c>
      <c r="K23" s="5" t="s">
        <v>3868</v>
      </c>
      <c r="M23" s="6"/>
    </row>
    <row r="24" spans="1:13" x14ac:dyDescent="0.25">
      <c r="A24" t="s">
        <v>1726</v>
      </c>
      <c r="B24" s="9">
        <v>-150</v>
      </c>
      <c r="C24">
        <v>150</v>
      </c>
      <c r="D24" s="9" t="s">
        <v>3610</v>
      </c>
      <c r="E24" t="s">
        <v>3610</v>
      </c>
      <c r="F24" t="s">
        <v>3844</v>
      </c>
      <c r="G24" s="9" t="s">
        <v>3849</v>
      </c>
      <c r="I24" s="5" t="s">
        <v>4096</v>
      </c>
      <c r="J24" s="5" t="s">
        <v>6456</v>
      </c>
      <c r="K24" s="5" t="s">
        <v>4097</v>
      </c>
      <c r="L24" s="5" t="s">
        <v>6457</v>
      </c>
      <c r="M24" s="6"/>
    </row>
    <row r="25" spans="1:13" x14ac:dyDescent="0.25">
      <c r="A25" t="s">
        <v>1728</v>
      </c>
      <c r="B25" s="9">
        <v>-150</v>
      </c>
      <c r="C25">
        <v>150</v>
      </c>
      <c r="D25" s="9" t="s">
        <v>1729</v>
      </c>
      <c r="F25" t="s">
        <v>3677</v>
      </c>
      <c r="G25" s="9" t="s">
        <v>3849</v>
      </c>
      <c r="I25" s="5" t="s">
        <v>4107</v>
      </c>
      <c r="J25" s="5" t="s">
        <v>6458</v>
      </c>
      <c r="K25" s="5" t="s">
        <v>3904</v>
      </c>
      <c r="M25" s="6"/>
    </row>
    <row r="26" spans="1:13" x14ac:dyDescent="0.25">
      <c r="A26" t="s">
        <v>1730</v>
      </c>
      <c r="B26" s="9">
        <v>0</v>
      </c>
      <c r="C26">
        <v>150</v>
      </c>
      <c r="D26" s="9" t="s">
        <v>3566</v>
      </c>
      <c r="F26" t="s">
        <v>3679</v>
      </c>
      <c r="G26" s="9" t="s">
        <v>3849</v>
      </c>
      <c r="I26" s="5" t="s">
        <v>4114</v>
      </c>
      <c r="J26" s="5" t="s">
        <v>6459</v>
      </c>
      <c r="K26" s="5" t="s">
        <v>3868</v>
      </c>
      <c r="M26" s="6"/>
    </row>
    <row r="27" spans="1:13" x14ac:dyDescent="0.25">
      <c r="A27" t="s">
        <v>1732</v>
      </c>
      <c r="B27" s="9">
        <v>-150</v>
      </c>
      <c r="C27">
        <v>150</v>
      </c>
      <c r="D27" s="9" t="s">
        <v>6640</v>
      </c>
      <c r="E27" t="s">
        <v>6635</v>
      </c>
      <c r="F27" t="s">
        <v>3680</v>
      </c>
      <c r="G27" s="9" t="s">
        <v>3849</v>
      </c>
      <c r="I27" s="5" t="s">
        <v>4118</v>
      </c>
      <c r="J27" s="5" t="s">
        <v>6460</v>
      </c>
      <c r="K27" s="5" t="s">
        <v>3868</v>
      </c>
      <c r="M27" s="7">
        <v>13141</v>
      </c>
    </row>
    <row r="28" spans="1:13" x14ac:dyDescent="0.25">
      <c r="A28" t="s">
        <v>6411</v>
      </c>
      <c r="B28" s="9">
        <v>-150</v>
      </c>
      <c r="C28">
        <v>150</v>
      </c>
      <c r="F28" t="s">
        <v>6415</v>
      </c>
      <c r="G28" s="9" t="s">
        <v>3849</v>
      </c>
      <c r="K28" s="5" t="s">
        <v>3868</v>
      </c>
    </row>
    <row r="29" spans="1:13" x14ac:dyDescent="0.25">
      <c r="A29" t="s">
        <v>1734</v>
      </c>
      <c r="B29" s="9">
        <v>0</v>
      </c>
      <c r="C29">
        <v>150</v>
      </c>
      <c r="D29" s="9" t="s">
        <v>6641</v>
      </c>
      <c r="E29" t="s">
        <v>6635</v>
      </c>
      <c r="F29" t="s">
        <v>3681</v>
      </c>
      <c r="G29" s="9" t="s">
        <v>3849</v>
      </c>
      <c r="I29" s="5" t="s">
        <v>4129</v>
      </c>
      <c r="J29" s="5" t="s">
        <v>6461</v>
      </c>
      <c r="K29" s="5" t="s">
        <v>3904</v>
      </c>
      <c r="M29" s="6"/>
    </row>
    <row r="30" spans="1:13" x14ac:dyDescent="0.25">
      <c r="A30" t="s">
        <v>1736</v>
      </c>
      <c r="B30" s="9">
        <v>-150</v>
      </c>
      <c r="C30">
        <v>150</v>
      </c>
      <c r="D30" s="9" t="s">
        <v>1737</v>
      </c>
      <c r="F30" t="s">
        <v>3682</v>
      </c>
      <c r="G30" s="9" t="s">
        <v>3849</v>
      </c>
      <c r="I30" s="5" t="s">
        <v>4130</v>
      </c>
      <c r="J30" s="5" t="s">
        <v>6462</v>
      </c>
      <c r="K30" s="5" t="s">
        <v>3868</v>
      </c>
      <c r="M30" s="6">
        <v>64</v>
      </c>
    </row>
    <row r="31" spans="1:13" x14ac:dyDescent="0.25">
      <c r="A31" t="s">
        <v>1738</v>
      </c>
      <c r="B31" s="9">
        <v>0</v>
      </c>
      <c r="C31">
        <v>150</v>
      </c>
      <c r="D31" s="9" t="s">
        <v>3569</v>
      </c>
      <c r="F31" t="s">
        <v>3684</v>
      </c>
      <c r="G31" s="9" t="s">
        <v>3849</v>
      </c>
      <c r="I31" s="5" t="s">
        <v>4139</v>
      </c>
      <c r="J31" s="5" t="s">
        <v>6463</v>
      </c>
      <c r="K31" s="5" t="s">
        <v>3868</v>
      </c>
      <c r="M31" s="6">
        <v>87</v>
      </c>
    </row>
    <row r="32" spans="1:13" x14ac:dyDescent="0.25">
      <c r="A32" t="s">
        <v>1740</v>
      </c>
      <c r="B32" s="9">
        <v>-150</v>
      </c>
      <c r="C32">
        <v>150</v>
      </c>
      <c r="D32" s="9" t="s">
        <v>1741</v>
      </c>
      <c r="F32" t="s">
        <v>6922</v>
      </c>
      <c r="G32" s="9" t="s">
        <v>3849</v>
      </c>
      <c r="I32" s="5" t="s">
        <v>4143</v>
      </c>
      <c r="J32" s="5" t="s">
        <v>6464</v>
      </c>
      <c r="K32" s="5" t="s">
        <v>3868</v>
      </c>
      <c r="M32" s="6"/>
    </row>
    <row r="33" spans="1:13" x14ac:dyDescent="0.25">
      <c r="A33" t="s">
        <v>1742</v>
      </c>
      <c r="B33" s="9">
        <v>-150</v>
      </c>
      <c r="C33">
        <v>150</v>
      </c>
      <c r="D33" s="9" t="s">
        <v>3570</v>
      </c>
      <c r="F33" t="s">
        <v>3686</v>
      </c>
      <c r="G33" s="9" t="s">
        <v>3849</v>
      </c>
      <c r="I33" s="5" t="s">
        <v>4149</v>
      </c>
      <c r="J33" s="5" t="s">
        <v>6465</v>
      </c>
      <c r="K33" s="5" t="s">
        <v>3868</v>
      </c>
      <c r="M33" s="6">
        <v>54</v>
      </c>
    </row>
    <row r="34" spans="1:13" x14ac:dyDescent="0.25">
      <c r="A34" t="s">
        <v>1744</v>
      </c>
      <c r="B34" s="9">
        <v>0</v>
      </c>
      <c r="C34">
        <v>150</v>
      </c>
      <c r="D34" s="9" t="s">
        <v>1745</v>
      </c>
      <c r="F34" t="s">
        <v>3688</v>
      </c>
      <c r="G34" s="9" t="s">
        <v>3849</v>
      </c>
      <c r="I34" s="5" t="s">
        <v>4154</v>
      </c>
      <c r="J34" s="5" t="s">
        <v>6466</v>
      </c>
      <c r="K34" s="5" t="s">
        <v>3868</v>
      </c>
      <c r="M34" s="6"/>
    </row>
    <row r="35" spans="1:13" x14ac:dyDescent="0.25">
      <c r="A35" t="s">
        <v>6643</v>
      </c>
      <c r="B35" s="9">
        <v>-150</v>
      </c>
      <c r="C35">
        <v>150</v>
      </c>
      <c r="D35" s="9" t="s">
        <v>1745</v>
      </c>
      <c r="F35" t="s">
        <v>6642</v>
      </c>
      <c r="G35" s="9" t="s">
        <v>3849</v>
      </c>
      <c r="K35" s="5" t="s">
        <v>3868</v>
      </c>
      <c r="M35" s="6"/>
    </row>
    <row r="36" spans="1:13" x14ac:dyDescent="0.25">
      <c r="A36" t="s">
        <v>1746</v>
      </c>
      <c r="B36" s="9">
        <v>0</v>
      </c>
      <c r="C36">
        <v>150</v>
      </c>
      <c r="D36" s="9" t="s">
        <v>1747</v>
      </c>
      <c r="F36" t="s">
        <v>3690</v>
      </c>
      <c r="G36" s="9" t="s">
        <v>3849</v>
      </c>
      <c r="I36" s="5" t="s">
        <v>4160</v>
      </c>
      <c r="J36" s="5" t="s">
        <v>6467</v>
      </c>
      <c r="K36" s="5" t="s">
        <v>3904</v>
      </c>
      <c r="M36" s="7">
        <v>105142</v>
      </c>
    </row>
    <row r="37" spans="1:13" s="25" customFormat="1" x14ac:dyDescent="0.25">
      <c r="A37" t="s">
        <v>1748</v>
      </c>
      <c r="B37" s="9">
        <v>-150</v>
      </c>
      <c r="C37">
        <v>150</v>
      </c>
      <c r="D37" s="9" t="s">
        <v>6644</v>
      </c>
      <c r="E37" t="s">
        <v>6635</v>
      </c>
      <c r="F37" t="s">
        <v>3691</v>
      </c>
      <c r="G37" s="9" t="s">
        <v>3849</v>
      </c>
      <c r="H37"/>
      <c r="I37" s="5" t="s">
        <v>4161</v>
      </c>
      <c r="J37" s="5" t="s">
        <v>6468</v>
      </c>
      <c r="K37" s="5" t="s">
        <v>3868</v>
      </c>
      <c r="L37" s="5"/>
      <c r="M37" s="6"/>
    </row>
    <row r="38" spans="1:13" x14ac:dyDescent="0.25">
      <c r="A38" s="44" t="s">
        <v>1750</v>
      </c>
      <c r="B38" s="45">
        <v>0</v>
      </c>
      <c r="C38" s="44">
        <v>150</v>
      </c>
      <c r="D38" s="45" t="s">
        <v>3604</v>
      </c>
      <c r="E38" s="44" t="s">
        <v>1751</v>
      </c>
      <c r="F38" s="44" t="s">
        <v>3840</v>
      </c>
      <c r="G38" s="45" t="s">
        <v>3849</v>
      </c>
      <c r="H38" s="44" t="s">
        <v>6841</v>
      </c>
      <c r="I38" s="5" t="s">
        <v>4166</v>
      </c>
      <c r="J38" s="5" t="s">
        <v>6469</v>
      </c>
      <c r="K38" s="5" t="s">
        <v>4097</v>
      </c>
      <c r="M38" s="6"/>
    </row>
    <row r="39" spans="1:13" x14ac:dyDescent="0.25">
      <c r="A39" s="44" t="s">
        <v>4167</v>
      </c>
      <c r="B39" s="45">
        <v>0</v>
      </c>
      <c r="C39" s="44">
        <v>150</v>
      </c>
      <c r="D39" s="45" t="s">
        <v>3604</v>
      </c>
      <c r="E39" s="44" t="s">
        <v>3615</v>
      </c>
      <c r="F39" s="44" t="s">
        <v>3841</v>
      </c>
      <c r="G39" s="45" t="s">
        <v>3849</v>
      </c>
      <c r="H39" s="44" t="s">
        <v>6842</v>
      </c>
      <c r="I39" s="5" t="s">
        <v>4168</v>
      </c>
      <c r="J39" s="5" t="s">
        <v>6470</v>
      </c>
      <c r="K39" s="5" t="s">
        <v>4097</v>
      </c>
      <c r="M39" s="6"/>
    </row>
    <row r="40" spans="1:13" x14ac:dyDescent="0.25">
      <c r="A40" t="s">
        <v>1752</v>
      </c>
      <c r="B40" s="9">
        <v>-150</v>
      </c>
      <c r="C40">
        <v>150</v>
      </c>
      <c r="D40" s="9" t="s">
        <v>1753</v>
      </c>
      <c r="F40" t="s">
        <v>3639</v>
      </c>
      <c r="G40" s="9" t="s">
        <v>3849</v>
      </c>
      <c r="I40" s="5" t="s">
        <v>4172</v>
      </c>
      <c r="J40" s="5" t="s">
        <v>6471</v>
      </c>
      <c r="K40" s="5" t="s">
        <v>3868</v>
      </c>
      <c r="M40" s="6">
        <v>75</v>
      </c>
    </row>
    <row r="41" spans="1:13" x14ac:dyDescent="0.25">
      <c r="A41" t="s">
        <v>1754</v>
      </c>
      <c r="B41" s="9">
        <v>-150</v>
      </c>
      <c r="C41">
        <v>150</v>
      </c>
      <c r="D41" s="9" t="s">
        <v>1755</v>
      </c>
      <c r="F41" t="s">
        <v>3692</v>
      </c>
      <c r="G41" s="9" t="s">
        <v>3849</v>
      </c>
      <c r="I41" s="5" t="s">
        <v>4181</v>
      </c>
      <c r="J41" s="5" t="s">
        <v>6474</v>
      </c>
      <c r="K41" s="5" t="s">
        <v>3868</v>
      </c>
      <c r="M41" s="6"/>
    </row>
    <row r="42" spans="1:13" x14ac:dyDescent="0.25">
      <c r="A42" t="s">
        <v>1756</v>
      </c>
      <c r="B42" s="9">
        <v>-150</v>
      </c>
      <c r="C42">
        <v>150</v>
      </c>
      <c r="D42" s="9" t="s">
        <v>1757</v>
      </c>
      <c r="F42" t="s">
        <v>3693</v>
      </c>
      <c r="G42" s="9" t="s">
        <v>3849</v>
      </c>
      <c r="I42" s="5" t="s">
        <v>4184</v>
      </c>
      <c r="J42" s="5" t="s">
        <v>6475</v>
      </c>
      <c r="K42" s="5" t="s">
        <v>3868</v>
      </c>
      <c r="M42" s="6"/>
    </row>
    <row r="43" spans="1:13" x14ac:dyDescent="0.25">
      <c r="A43" t="s">
        <v>1758</v>
      </c>
      <c r="B43" s="9">
        <v>-150</v>
      </c>
      <c r="C43">
        <v>150</v>
      </c>
      <c r="D43" s="9" t="s">
        <v>6645</v>
      </c>
      <c r="E43" t="s">
        <v>6635</v>
      </c>
      <c r="F43" t="s">
        <v>3694</v>
      </c>
      <c r="G43" s="9" t="s">
        <v>3849</v>
      </c>
      <c r="I43" s="5" t="s">
        <v>4185</v>
      </c>
      <c r="J43" s="5" t="s">
        <v>6476</v>
      </c>
      <c r="K43" s="5" t="s">
        <v>3868</v>
      </c>
      <c r="M43" s="6"/>
    </row>
    <row r="44" spans="1:13" x14ac:dyDescent="0.25">
      <c r="A44" t="s">
        <v>1760</v>
      </c>
      <c r="B44" s="9">
        <v>-150</v>
      </c>
      <c r="C44">
        <v>150</v>
      </c>
      <c r="D44" s="9" t="s">
        <v>1761</v>
      </c>
      <c r="F44" t="s">
        <v>3695</v>
      </c>
      <c r="G44" s="9" t="s">
        <v>3849</v>
      </c>
      <c r="I44" s="5" t="s">
        <v>4199</v>
      </c>
      <c r="J44" s="5" t="s">
        <v>6477</v>
      </c>
      <c r="K44" s="5" t="s">
        <v>3868</v>
      </c>
      <c r="M44" s="6"/>
    </row>
    <row r="45" spans="1:13" x14ac:dyDescent="0.25">
      <c r="A45" t="s">
        <v>1762</v>
      </c>
      <c r="B45" s="9">
        <v>-150</v>
      </c>
      <c r="C45">
        <v>150</v>
      </c>
      <c r="D45" s="9" t="s">
        <v>1763</v>
      </c>
      <c r="F45" t="s">
        <v>3697</v>
      </c>
      <c r="G45" s="9" t="s">
        <v>3849</v>
      </c>
      <c r="I45" s="5" t="s">
        <v>4202</v>
      </c>
      <c r="J45" s="5" t="s">
        <v>6478</v>
      </c>
      <c r="K45" s="5" t="s">
        <v>3868</v>
      </c>
      <c r="M45" s="6">
        <v>132</v>
      </c>
    </row>
    <row r="46" spans="1:13" x14ac:dyDescent="0.25">
      <c r="A46" t="s">
        <v>1764</v>
      </c>
      <c r="B46" s="9">
        <v>-150</v>
      </c>
      <c r="C46">
        <v>150</v>
      </c>
      <c r="D46" s="9" t="s">
        <v>1765</v>
      </c>
      <c r="F46" t="s">
        <v>3698</v>
      </c>
      <c r="G46" s="9" t="s">
        <v>3849</v>
      </c>
      <c r="I46" s="5" t="s">
        <v>4211</v>
      </c>
      <c r="J46" s="5" t="s">
        <v>6479</v>
      </c>
      <c r="K46" s="5" t="s">
        <v>3868</v>
      </c>
      <c r="M46" s="6"/>
    </row>
    <row r="47" spans="1:13" x14ac:dyDescent="0.25">
      <c r="A47" t="s">
        <v>1766</v>
      </c>
      <c r="B47" s="9">
        <v>-150</v>
      </c>
      <c r="C47">
        <v>150</v>
      </c>
      <c r="D47" s="9" t="s">
        <v>1767</v>
      </c>
      <c r="F47" t="s">
        <v>3699</v>
      </c>
      <c r="G47" s="9" t="s">
        <v>3849</v>
      </c>
      <c r="I47" s="5" t="s">
        <v>4217</v>
      </c>
      <c r="J47" s="5" t="s">
        <v>6480</v>
      </c>
      <c r="K47" s="5" t="s">
        <v>3868</v>
      </c>
      <c r="M47" s="6"/>
    </row>
    <row r="48" spans="1:13" x14ac:dyDescent="0.25">
      <c r="A48" t="s">
        <v>1768</v>
      </c>
      <c r="B48" s="9">
        <v>-150</v>
      </c>
      <c r="C48">
        <v>150</v>
      </c>
      <c r="D48" s="9" t="s">
        <v>1769</v>
      </c>
      <c r="F48" t="s">
        <v>3700</v>
      </c>
      <c r="G48" s="9" t="s">
        <v>3849</v>
      </c>
      <c r="I48" s="5" t="s">
        <v>4248</v>
      </c>
      <c r="J48" s="5" t="s">
        <v>6481</v>
      </c>
      <c r="K48" s="5" t="s">
        <v>3868</v>
      </c>
      <c r="M48" s="6"/>
    </row>
    <row r="49" spans="1:13" s="1" customFormat="1" x14ac:dyDescent="0.25">
      <c r="A49" t="s">
        <v>1770</v>
      </c>
      <c r="B49" s="9">
        <v>-150</v>
      </c>
      <c r="C49">
        <v>150</v>
      </c>
      <c r="D49" s="9" t="s">
        <v>1771</v>
      </c>
      <c r="E49"/>
      <c r="F49" t="s">
        <v>3702</v>
      </c>
      <c r="G49" s="9" t="s">
        <v>3849</v>
      </c>
      <c r="H49"/>
      <c r="I49" s="5" t="s">
        <v>4253</v>
      </c>
      <c r="J49" s="5" t="s">
        <v>6482</v>
      </c>
      <c r="K49" s="5" t="s">
        <v>3868</v>
      </c>
      <c r="L49" s="5"/>
      <c r="M49" s="6">
        <v>76</v>
      </c>
    </row>
    <row r="50" spans="1:13" s="1" customFormat="1" x14ac:dyDescent="0.25">
      <c r="A50" s="44" t="s">
        <v>1772</v>
      </c>
      <c r="B50" s="45">
        <v>0</v>
      </c>
      <c r="C50" s="44">
        <v>150</v>
      </c>
      <c r="D50" s="45" t="s">
        <v>3573</v>
      </c>
      <c r="E50" s="44" t="s">
        <v>3573</v>
      </c>
      <c r="F50" s="44" t="s">
        <v>3843</v>
      </c>
      <c r="G50" s="45" t="s">
        <v>3849</v>
      </c>
      <c r="H50"/>
      <c r="I50" s="5" t="s">
        <v>4259</v>
      </c>
      <c r="J50" s="5" t="s">
        <v>6483</v>
      </c>
      <c r="K50" s="5" t="s">
        <v>4097</v>
      </c>
      <c r="L50" s="5"/>
      <c r="M50" s="6">
        <v>39</v>
      </c>
    </row>
    <row r="51" spans="1:13" x14ac:dyDescent="0.25">
      <c r="A51" s="44" t="s">
        <v>1774</v>
      </c>
      <c r="B51" s="45">
        <v>0</v>
      </c>
      <c r="C51" s="44">
        <v>150</v>
      </c>
      <c r="D51" s="45" t="s">
        <v>1775</v>
      </c>
      <c r="E51" s="44" t="s">
        <v>1775</v>
      </c>
      <c r="F51" s="44" t="s">
        <v>3843</v>
      </c>
      <c r="G51" s="45" t="s">
        <v>3849</v>
      </c>
      <c r="I51" s="5" t="s">
        <v>4260</v>
      </c>
      <c r="J51" s="5" t="s">
        <v>6484</v>
      </c>
      <c r="K51" s="5" t="s">
        <v>4097</v>
      </c>
      <c r="M51" s="6">
        <v>39</v>
      </c>
    </row>
    <row r="52" spans="1:13" x14ac:dyDescent="0.25">
      <c r="A52" t="s">
        <v>1776</v>
      </c>
      <c r="B52" s="9">
        <v>-150</v>
      </c>
      <c r="C52">
        <v>150</v>
      </c>
      <c r="D52" s="9" t="s">
        <v>1777</v>
      </c>
      <c r="F52" t="s">
        <v>3703</v>
      </c>
      <c r="G52" s="9" t="s">
        <v>3849</v>
      </c>
      <c r="I52" s="5" t="s">
        <v>4270</v>
      </c>
      <c r="J52" s="5" t="s">
        <v>6485</v>
      </c>
      <c r="K52" s="5" t="s">
        <v>3868</v>
      </c>
      <c r="M52" s="6"/>
    </row>
    <row r="53" spans="1:13" x14ac:dyDescent="0.25">
      <c r="A53" t="s">
        <v>1778</v>
      </c>
      <c r="B53" s="9">
        <v>0</v>
      </c>
      <c r="C53">
        <v>150</v>
      </c>
      <c r="D53" s="9" t="s">
        <v>1779</v>
      </c>
      <c r="F53" t="s">
        <v>6646</v>
      </c>
      <c r="G53" s="9" t="s">
        <v>3849</v>
      </c>
      <c r="I53" s="5" t="s">
        <v>4275</v>
      </c>
      <c r="J53" s="5" t="s">
        <v>6486</v>
      </c>
      <c r="K53" s="5" t="s">
        <v>3868</v>
      </c>
      <c r="M53" s="6"/>
    </row>
    <row r="54" spans="1:13" x14ac:dyDescent="0.25">
      <c r="A54" t="s">
        <v>6647</v>
      </c>
      <c r="B54" s="9">
        <v>-150</v>
      </c>
      <c r="C54">
        <v>150</v>
      </c>
      <c r="D54" s="9" t="s">
        <v>1779</v>
      </c>
      <c r="F54" t="s">
        <v>3705</v>
      </c>
      <c r="G54" s="9" t="s">
        <v>3849</v>
      </c>
      <c r="K54" s="5" t="s">
        <v>3868</v>
      </c>
      <c r="M54" s="6"/>
    </row>
    <row r="55" spans="1:13" s="1" customFormat="1" x14ac:dyDescent="0.25">
      <c r="A55" t="s">
        <v>1780</v>
      </c>
      <c r="B55" s="9">
        <v>-150</v>
      </c>
      <c r="C55">
        <v>150</v>
      </c>
      <c r="D55" s="9" t="s">
        <v>1781</v>
      </c>
      <c r="E55"/>
      <c r="F55" t="s">
        <v>3706</v>
      </c>
      <c r="G55" s="9" t="s">
        <v>3849</v>
      </c>
      <c r="H55"/>
      <c r="I55" s="5" t="s">
        <v>4296</v>
      </c>
      <c r="J55" s="5" t="s">
        <v>6487</v>
      </c>
      <c r="K55" s="5" t="s">
        <v>3868</v>
      </c>
      <c r="L55" s="5"/>
      <c r="M55" s="6"/>
    </row>
    <row r="56" spans="1:13" s="1" customFormat="1" x14ac:dyDescent="0.25">
      <c r="A56" s="46" t="s">
        <v>1782</v>
      </c>
      <c r="B56" s="47">
        <v>0</v>
      </c>
      <c r="C56" s="46">
        <v>150</v>
      </c>
      <c r="D56" s="47" t="s">
        <v>6916</v>
      </c>
      <c r="E56" s="46" t="s">
        <v>6917</v>
      </c>
      <c r="F56" s="46" t="s">
        <v>3839</v>
      </c>
      <c r="G56" s="47" t="s">
        <v>3849</v>
      </c>
      <c r="H56"/>
      <c r="I56" s="5" t="s">
        <v>4314</v>
      </c>
      <c r="J56" s="5" t="s">
        <v>6488</v>
      </c>
      <c r="K56" s="5" t="s">
        <v>4097</v>
      </c>
      <c r="L56" s="5" t="s">
        <v>6489</v>
      </c>
      <c r="M56" s="6"/>
    </row>
    <row r="57" spans="1:13" x14ac:dyDescent="0.25">
      <c r="A57" s="44" t="s">
        <v>1784</v>
      </c>
      <c r="B57" s="45">
        <v>0</v>
      </c>
      <c r="C57" s="44">
        <v>150</v>
      </c>
      <c r="D57" s="45" t="s">
        <v>6918</v>
      </c>
      <c r="E57" s="44" t="s">
        <v>6919</v>
      </c>
      <c r="F57" s="44" t="s">
        <v>3839</v>
      </c>
      <c r="G57" s="45" t="s">
        <v>3849</v>
      </c>
      <c r="I57" s="5" t="s">
        <v>4315</v>
      </c>
      <c r="J57" s="5" t="s">
        <v>6490</v>
      </c>
      <c r="K57" s="5" t="s">
        <v>4097</v>
      </c>
      <c r="L57" s="5" t="s">
        <v>6489</v>
      </c>
      <c r="M57" s="6"/>
    </row>
    <row r="58" spans="1:13" x14ac:dyDescent="0.25">
      <c r="A58" t="s">
        <v>1786</v>
      </c>
      <c r="B58" s="9">
        <v>-150</v>
      </c>
      <c r="C58">
        <v>150</v>
      </c>
      <c r="D58" s="9" t="s">
        <v>6648</v>
      </c>
      <c r="E58" t="s">
        <v>6635</v>
      </c>
      <c r="F58" t="s">
        <v>3707</v>
      </c>
      <c r="G58" s="9" t="s">
        <v>3849</v>
      </c>
      <c r="I58" s="5" t="s">
        <v>4316</v>
      </c>
      <c r="J58" s="5" t="s">
        <v>6491</v>
      </c>
      <c r="K58" s="5" t="s">
        <v>3868</v>
      </c>
      <c r="M58" s="6">
        <v>56</v>
      </c>
    </row>
    <row r="59" spans="1:13" x14ac:dyDescent="0.25">
      <c r="A59" t="s">
        <v>1788</v>
      </c>
      <c r="B59" s="9">
        <v>0</v>
      </c>
      <c r="C59">
        <v>150</v>
      </c>
      <c r="D59" s="9" t="s">
        <v>1789</v>
      </c>
      <c r="F59" t="s">
        <v>3709</v>
      </c>
      <c r="G59" s="9" t="s">
        <v>3849</v>
      </c>
      <c r="I59" s="5" t="s">
        <v>4322</v>
      </c>
      <c r="J59" s="5" t="s">
        <v>6492</v>
      </c>
      <c r="K59" s="5" t="s">
        <v>3868</v>
      </c>
      <c r="M59" s="6"/>
    </row>
    <row r="60" spans="1:13" x14ac:dyDescent="0.25">
      <c r="A60" t="s">
        <v>1790</v>
      </c>
      <c r="B60" s="9">
        <v>0</v>
      </c>
      <c r="C60">
        <v>150</v>
      </c>
      <c r="D60" s="9" t="s">
        <v>3575</v>
      </c>
      <c r="E60" t="s">
        <v>3618</v>
      </c>
      <c r="F60" t="s">
        <v>3710</v>
      </c>
      <c r="G60" s="9" t="s">
        <v>3849</v>
      </c>
      <c r="I60" s="5" t="s">
        <v>4327</v>
      </c>
      <c r="J60" s="5" t="s">
        <v>6493</v>
      </c>
      <c r="K60" s="5" t="s">
        <v>3868</v>
      </c>
      <c r="M60" s="6"/>
    </row>
    <row r="61" spans="1:13" s="1" customFormat="1" x14ac:dyDescent="0.25">
      <c r="A61" t="s">
        <v>1792</v>
      </c>
      <c r="B61" s="9">
        <v>0</v>
      </c>
      <c r="C61">
        <v>150</v>
      </c>
      <c r="D61" s="9" t="s">
        <v>3576</v>
      </c>
      <c r="E61" t="s">
        <v>3619</v>
      </c>
      <c r="F61" t="s">
        <v>3710</v>
      </c>
      <c r="G61" s="9" t="s">
        <v>3849</v>
      </c>
      <c r="H61"/>
      <c r="I61" s="5" t="s">
        <v>4328</v>
      </c>
      <c r="J61" s="5" t="s">
        <v>6494</v>
      </c>
      <c r="K61" s="5" t="s">
        <v>3868</v>
      </c>
      <c r="L61" s="5"/>
      <c r="M61" s="6">
        <v>132</v>
      </c>
    </row>
    <row r="62" spans="1:13" x14ac:dyDescent="0.25">
      <c r="A62" s="25" t="s">
        <v>1794</v>
      </c>
      <c r="B62" s="26">
        <v>-150</v>
      </c>
      <c r="C62" s="25">
        <v>150</v>
      </c>
      <c r="D62" s="26" t="s">
        <v>6649</v>
      </c>
      <c r="E62" s="25"/>
      <c r="F62" s="25" t="s">
        <v>6650</v>
      </c>
      <c r="G62" s="26" t="s">
        <v>3849</v>
      </c>
      <c r="I62" s="5" t="s">
        <v>4332</v>
      </c>
      <c r="J62" s="5" t="s">
        <v>6495</v>
      </c>
      <c r="K62" s="5" t="s">
        <v>3868</v>
      </c>
      <c r="M62" s="6">
        <v>135</v>
      </c>
    </row>
    <row r="63" spans="1:13" x14ac:dyDescent="0.25">
      <c r="A63" t="s">
        <v>1796</v>
      </c>
      <c r="B63" s="9">
        <v>-150</v>
      </c>
      <c r="C63">
        <v>150</v>
      </c>
      <c r="D63" s="9" t="s">
        <v>1797</v>
      </c>
      <c r="F63" t="s">
        <v>3713</v>
      </c>
      <c r="G63" s="9" t="s">
        <v>3849</v>
      </c>
      <c r="I63" s="5" t="s">
        <v>4333</v>
      </c>
      <c r="J63" s="5" t="s">
        <v>6496</v>
      </c>
      <c r="K63" s="5" t="s">
        <v>3868</v>
      </c>
      <c r="M63" s="6"/>
    </row>
    <row r="64" spans="1:13" s="1" customFormat="1" x14ac:dyDescent="0.25">
      <c r="A64" t="s">
        <v>1798</v>
      </c>
      <c r="B64" s="9">
        <v>0</v>
      </c>
      <c r="C64">
        <v>150</v>
      </c>
      <c r="D64" s="9" t="s">
        <v>1799</v>
      </c>
      <c r="E64"/>
      <c r="F64" t="s">
        <v>3641</v>
      </c>
      <c r="G64" s="9" t="s">
        <v>3849</v>
      </c>
      <c r="H64"/>
      <c r="I64" s="5" t="s">
        <v>4336</v>
      </c>
      <c r="J64" s="5" t="s">
        <v>6497</v>
      </c>
      <c r="K64" s="5" t="s">
        <v>3868</v>
      </c>
      <c r="L64" s="5"/>
      <c r="M64" s="6">
        <v>53</v>
      </c>
    </row>
    <row r="65" spans="1:13" x14ac:dyDescent="0.25">
      <c r="A65" s="25" t="s">
        <v>1800</v>
      </c>
      <c r="B65" s="26">
        <v>0</v>
      </c>
      <c r="C65" s="25">
        <v>150</v>
      </c>
      <c r="D65" s="26" t="s">
        <v>6651</v>
      </c>
      <c r="E65" s="25"/>
      <c r="F65" s="25" t="s">
        <v>6652</v>
      </c>
      <c r="G65" s="26" t="s">
        <v>3849</v>
      </c>
      <c r="I65" s="5" t="s">
        <v>4360</v>
      </c>
      <c r="J65" s="5" t="s">
        <v>6499</v>
      </c>
      <c r="K65" s="5" t="s">
        <v>3868</v>
      </c>
      <c r="M65" s="6">
        <v>135</v>
      </c>
    </row>
    <row r="66" spans="1:13" x14ac:dyDescent="0.25">
      <c r="A66" t="s">
        <v>1802</v>
      </c>
      <c r="B66" s="9">
        <v>0</v>
      </c>
      <c r="C66">
        <v>150</v>
      </c>
      <c r="D66" s="9" t="s">
        <v>6653</v>
      </c>
      <c r="E66" t="s">
        <v>6635</v>
      </c>
      <c r="F66" t="s">
        <v>3716</v>
      </c>
      <c r="G66" s="9" t="s">
        <v>3849</v>
      </c>
      <c r="I66" s="5" t="s">
        <v>4361</v>
      </c>
      <c r="J66" s="5" t="s">
        <v>6500</v>
      </c>
      <c r="K66" s="5" t="s">
        <v>3868</v>
      </c>
      <c r="M66" s="6"/>
    </row>
    <row r="67" spans="1:13" x14ac:dyDescent="0.25">
      <c r="A67" t="s">
        <v>1804</v>
      </c>
      <c r="B67" s="9">
        <v>-150</v>
      </c>
      <c r="C67">
        <v>150</v>
      </c>
      <c r="D67" s="9" t="s">
        <v>1805</v>
      </c>
      <c r="F67" t="s">
        <v>3718</v>
      </c>
      <c r="G67" s="9" t="s">
        <v>3849</v>
      </c>
      <c r="I67" s="5" t="s">
        <v>4366</v>
      </c>
      <c r="J67" s="5" t="s">
        <v>6501</v>
      </c>
      <c r="K67" s="5" t="s">
        <v>3868</v>
      </c>
      <c r="M67" s="7">
        <v>132142</v>
      </c>
    </row>
    <row r="68" spans="1:13" x14ac:dyDescent="0.25">
      <c r="A68" t="s">
        <v>1806</v>
      </c>
      <c r="B68" s="9">
        <v>-150</v>
      </c>
      <c r="C68">
        <v>150</v>
      </c>
      <c r="D68" s="9" t="s">
        <v>1807</v>
      </c>
      <c r="F68" t="s">
        <v>3720</v>
      </c>
      <c r="G68" s="9" t="s">
        <v>3849</v>
      </c>
      <c r="I68" s="5" t="s">
        <v>4367</v>
      </c>
      <c r="J68" s="5" t="s">
        <v>6502</v>
      </c>
      <c r="K68" s="5" t="s">
        <v>3868</v>
      </c>
      <c r="M68" s="6"/>
    </row>
    <row r="69" spans="1:13" x14ac:dyDescent="0.25">
      <c r="A69" t="s">
        <v>1808</v>
      </c>
      <c r="B69" s="9">
        <v>0</v>
      </c>
      <c r="C69">
        <v>150</v>
      </c>
      <c r="D69" s="9" t="s">
        <v>1809</v>
      </c>
      <c r="F69" t="s">
        <v>3716</v>
      </c>
      <c r="G69" s="9" t="s">
        <v>3849</v>
      </c>
      <c r="I69" s="5" t="s">
        <v>4372</v>
      </c>
      <c r="J69" s="5" t="s">
        <v>6503</v>
      </c>
      <c r="K69" s="5" t="s">
        <v>3868</v>
      </c>
      <c r="M69" s="6"/>
    </row>
    <row r="70" spans="1:13" x14ac:dyDescent="0.25">
      <c r="A70" t="s">
        <v>1810</v>
      </c>
      <c r="B70" s="9">
        <v>-150</v>
      </c>
      <c r="C70">
        <v>150</v>
      </c>
      <c r="D70" s="9" t="s">
        <v>3580</v>
      </c>
      <c r="E70" t="s">
        <v>3620</v>
      </c>
      <c r="F70" t="s">
        <v>3721</v>
      </c>
      <c r="G70" s="9" t="s">
        <v>3849</v>
      </c>
      <c r="I70" s="5" t="s">
        <v>4373</v>
      </c>
      <c r="J70" s="5" t="s">
        <v>6504</v>
      </c>
      <c r="K70" s="5" t="s">
        <v>3868</v>
      </c>
      <c r="M70" s="6"/>
    </row>
    <row r="71" spans="1:13" x14ac:dyDescent="0.25">
      <c r="A71" t="s">
        <v>1812</v>
      </c>
      <c r="B71" s="9">
        <v>-150</v>
      </c>
      <c r="C71">
        <v>150</v>
      </c>
      <c r="D71" s="9" t="s">
        <v>1813</v>
      </c>
      <c r="F71" t="s">
        <v>3723</v>
      </c>
      <c r="G71" s="9" t="s">
        <v>3849</v>
      </c>
      <c r="I71" s="5" t="s">
        <v>4378</v>
      </c>
      <c r="J71" s="5" t="s">
        <v>6505</v>
      </c>
      <c r="K71" s="5" t="s">
        <v>3868</v>
      </c>
      <c r="M71" s="6">
        <v>132</v>
      </c>
    </row>
    <row r="72" spans="1:13" x14ac:dyDescent="0.25">
      <c r="A72" t="s">
        <v>1814</v>
      </c>
      <c r="B72" s="9">
        <v>0</v>
      </c>
      <c r="C72">
        <v>150</v>
      </c>
      <c r="D72" s="9" t="s">
        <v>3581</v>
      </c>
      <c r="E72" t="s">
        <v>3621</v>
      </c>
      <c r="F72" t="s">
        <v>3724</v>
      </c>
      <c r="G72" s="9" t="s">
        <v>3849</v>
      </c>
      <c r="I72" s="5" t="s">
        <v>4379</v>
      </c>
      <c r="J72" s="5" t="s">
        <v>6506</v>
      </c>
      <c r="K72" s="5" t="s">
        <v>3868</v>
      </c>
      <c r="M72" s="6">
        <v>132</v>
      </c>
    </row>
    <row r="73" spans="1:13" s="1" customFormat="1" x14ac:dyDescent="0.25">
      <c r="A73" t="s">
        <v>6654</v>
      </c>
      <c r="B73" s="9">
        <v>-150</v>
      </c>
      <c r="C73">
        <v>150</v>
      </c>
      <c r="D73" s="9" t="s">
        <v>3581</v>
      </c>
      <c r="E73" t="s">
        <v>3621</v>
      </c>
      <c r="F73" t="s">
        <v>3725</v>
      </c>
      <c r="G73" s="9" t="s">
        <v>3849</v>
      </c>
      <c r="H73"/>
      <c r="I73" s="5"/>
      <c r="J73" s="5"/>
      <c r="K73" s="5" t="s">
        <v>3868</v>
      </c>
      <c r="L73" s="5"/>
      <c r="M73" s="6"/>
    </row>
    <row r="74" spans="1:13" x14ac:dyDescent="0.25">
      <c r="A74" s="44" t="s">
        <v>1816</v>
      </c>
      <c r="B74" s="45">
        <v>-150</v>
      </c>
      <c r="C74" s="44">
        <v>150</v>
      </c>
      <c r="D74" s="45" t="s">
        <v>3614</v>
      </c>
      <c r="E74" s="44" t="s">
        <v>3582</v>
      </c>
      <c r="F74" s="44" t="s">
        <v>3847</v>
      </c>
      <c r="G74" s="45" t="s">
        <v>3849</v>
      </c>
      <c r="I74" s="5" t="s">
        <v>4395</v>
      </c>
      <c r="J74" s="5" t="s">
        <v>5268</v>
      </c>
      <c r="K74" s="5" t="s">
        <v>4097</v>
      </c>
      <c r="M74" s="6">
        <v>140</v>
      </c>
    </row>
    <row r="75" spans="1:13" x14ac:dyDescent="0.25">
      <c r="A75" t="s">
        <v>1818</v>
      </c>
      <c r="B75" s="9">
        <v>-150</v>
      </c>
      <c r="C75">
        <v>150</v>
      </c>
      <c r="D75" s="9" t="s">
        <v>1819</v>
      </c>
      <c r="F75" t="s">
        <v>3727</v>
      </c>
      <c r="G75" s="9" t="s">
        <v>3849</v>
      </c>
      <c r="I75" s="5" t="s">
        <v>4396</v>
      </c>
      <c r="J75" s="5" t="s">
        <v>6507</v>
      </c>
      <c r="K75" s="5" t="s">
        <v>3868</v>
      </c>
      <c r="M75" s="6">
        <v>5</v>
      </c>
    </row>
    <row r="76" spans="1:13" x14ac:dyDescent="0.25">
      <c r="A76" t="s">
        <v>1820</v>
      </c>
      <c r="B76" s="9">
        <v>0</v>
      </c>
      <c r="C76">
        <v>150</v>
      </c>
      <c r="D76" s="9" t="s">
        <v>3583</v>
      </c>
      <c r="E76" t="s">
        <v>3622</v>
      </c>
      <c r="F76" t="s">
        <v>3728</v>
      </c>
      <c r="G76" s="9" t="s">
        <v>3849</v>
      </c>
      <c r="I76" s="5" t="s">
        <v>4399</v>
      </c>
      <c r="J76" s="5" t="s">
        <v>6508</v>
      </c>
      <c r="K76" s="5" t="s">
        <v>3868</v>
      </c>
      <c r="M76" s="7">
        <v>132139</v>
      </c>
    </row>
    <row r="77" spans="1:13" x14ac:dyDescent="0.25">
      <c r="A77" t="s">
        <v>1822</v>
      </c>
      <c r="B77" s="9">
        <v>-150</v>
      </c>
      <c r="C77">
        <v>150</v>
      </c>
      <c r="D77" s="9" t="s">
        <v>1823</v>
      </c>
      <c r="F77" t="s">
        <v>3730</v>
      </c>
      <c r="G77" s="9" t="s">
        <v>3849</v>
      </c>
      <c r="I77" s="5" t="s">
        <v>4404</v>
      </c>
      <c r="J77" s="5" t="s">
        <v>6509</v>
      </c>
      <c r="K77" s="5" t="s">
        <v>3904</v>
      </c>
      <c r="M77" s="6"/>
    </row>
    <row r="78" spans="1:13" x14ac:dyDescent="0.25">
      <c r="A78" t="s">
        <v>1824</v>
      </c>
      <c r="B78" s="9">
        <v>0</v>
      </c>
      <c r="C78">
        <v>150</v>
      </c>
      <c r="D78" s="9" t="s">
        <v>1825</v>
      </c>
      <c r="F78" t="s">
        <v>3728</v>
      </c>
      <c r="G78" s="9" t="s">
        <v>3849</v>
      </c>
      <c r="I78" s="5" t="s">
        <v>4407</v>
      </c>
      <c r="J78" s="5" t="s">
        <v>6510</v>
      </c>
      <c r="K78" s="5" t="s">
        <v>3868</v>
      </c>
      <c r="M78" s="6"/>
    </row>
    <row r="79" spans="1:13" x14ac:dyDescent="0.25">
      <c r="A79" t="s">
        <v>1826</v>
      </c>
      <c r="B79" s="9">
        <v>-150</v>
      </c>
      <c r="C79">
        <v>150</v>
      </c>
      <c r="D79" s="9" t="s">
        <v>1827</v>
      </c>
      <c r="F79" t="s">
        <v>3732</v>
      </c>
      <c r="G79" s="9" t="s">
        <v>3849</v>
      </c>
      <c r="I79" s="5" t="s">
        <v>4408</v>
      </c>
      <c r="J79" s="5" t="s">
        <v>6511</v>
      </c>
      <c r="K79" s="5" t="s">
        <v>3868</v>
      </c>
      <c r="M79" s="6">
        <v>132</v>
      </c>
    </row>
    <row r="80" spans="1:13" x14ac:dyDescent="0.25">
      <c r="A80" t="s">
        <v>1828</v>
      </c>
      <c r="B80" s="9">
        <v>-150</v>
      </c>
      <c r="C80">
        <v>150</v>
      </c>
      <c r="D80" s="9" t="s">
        <v>6655</v>
      </c>
      <c r="E80" t="s">
        <v>6635</v>
      </c>
      <c r="F80" t="s">
        <v>3733</v>
      </c>
      <c r="G80" s="9" t="s">
        <v>3849</v>
      </c>
      <c r="I80" s="5" t="s">
        <v>4411</v>
      </c>
      <c r="J80" s="5" t="s">
        <v>6512</v>
      </c>
      <c r="K80" s="5" t="s">
        <v>3868</v>
      </c>
      <c r="M80" s="6"/>
    </row>
    <row r="81" spans="1:13" x14ac:dyDescent="0.25">
      <c r="A81" t="s">
        <v>1830</v>
      </c>
      <c r="B81" s="9">
        <v>0</v>
      </c>
      <c r="C81">
        <v>150</v>
      </c>
      <c r="D81" s="9" t="s">
        <v>6656</v>
      </c>
      <c r="E81" t="s">
        <v>6635</v>
      </c>
      <c r="F81" t="s">
        <v>3734</v>
      </c>
      <c r="G81" s="9" t="s">
        <v>3849</v>
      </c>
      <c r="I81" s="5" t="s">
        <v>4418</v>
      </c>
      <c r="J81" s="5" t="s">
        <v>6513</v>
      </c>
      <c r="K81" s="5" t="s">
        <v>3868</v>
      </c>
      <c r="M81" s="6"/>
    </row>
    <row r="82" spans="1:13" x14ac:dyDescent="0.25">
      <c r="A82" t="s">
        <v>1832</v>
      </c>
      <c r="B82" s="9">
        <v>-150</v>
      </c>
      <c r="C82">
        <v>150</v>
      </c>
      <c r="D82" s="9" t="s">
        <v>3586</v>
      </c>
      <c r="F82" t="s">
        <v>3736</v>
      </c>
      <c r="G82" s="9" t="s">
        <v>3849</v>
      </c>
      <c r="I82" s="5" t="s">
        <v>4419</v>
      </c>
      <c r="J82" s="5" t="s">
        <v>6514</v>
      </c>
      <c r="K82" s="5" t="s">
        <v>3904</v>
      </c>
      <c r="M82" s="6"/>
    </row>
    <row r="83" spans="1:13" x14ac:dyDescent="0.25">
      <c r="A83" t="s">
        <v>1834</v>
      </c>
      <c r="B83" s="9">
        <v>-150</v>
      </c>
      <c r="C83">
        <v>150</v>
      </c>
      <c r="D83" s="9" t="s">
        <v>1835</v>
      </c>
      <c r="F83" t="s">
        <v>3737</v>
      </c>
      <c r="G83" s="9" t="s">
        <v>3849</v>
      </c>
      <c r="I83" s="5" t="s">
        <v>4434</v>
      </c>
      <c r="J83" s="5" t="s">
        <v>6515</v>
      </c>
      <c r="K83" s="5" t="s">
        <v>3868</v>
      </c>
      <c r="M83" s="6"/>
    </row>
    <row r="84" spans="1:13" x14ac:dyDescent="0.25">
      <c r="A84" t="s">
        <v>1836</v>
      </c>
      <c r="B84" s="9">
        <v>0</v>
      </c>
      <c r="C84">
        <v>150</v>
      </c>
      <c r="D84" s="9" t="s">
        <v>1837</v>
      </c>
      <c r="F84" t="s">
        <v>3738</v>
      </c>
      <c r="G84" s="9" t="s">
        <v>3849</v>
      </c>
      <c r="I84" s="5" t="s">
        <v>4435</v>
      </c>
      <c r="J84" s="5" t="s">
        <v>6516</v>
      </c>
      <c r="K84" s="5" t="s">
        <v>3868</v>
      </c>
      <c r="M84" s="6"/>
    </row>
    <row r="85" spans="1:13" x14ac:dyDescent="0.25">
      <c r="A85" t="s">
        <v>1838</v>
      </c>
      <c r="B85" s="9">
        <v>-150</v>
      </c>
      <c r="C85">
        <v>150</v>
      </c>
      <c r="D85" s="9" t="s">
        <v>1839</v>
      </c>
      <c r="F85" t="s">
        <v>3739</v>
      </c>
      <c r="G85" s="9" t="s">
        <v>3849</v>
      </c>
      <c r="I85" s="5" t="s">
        <v>4442</v>
      </c>
      <c r="J85" s="5" t="s">
        <v>6517</v>
      </c>
      <c r="K85" s="5" t="s">
        <v>3868</v>
      </c>
      <c r="M85" s="6">
        <v>46</v>
      </c>
    </row>
    <row r="86" spans="1:13" x14ac:dyDescent="0.25">
      <c r="A86" t="s">
        <v>1840</v>
      </c>
      <c r="B86" s="9">
        <v>0</v>
      </c>
      <c r="C86">
        <v>150</v>
      </c>
      <c r="D86" s="9" t="s">
        <v>6657</v>
      </c>
      <c r="E86" t="s">
        <v>6635</v>
      </c>
      <c r="F86" t="s">
        <v>3740</v>
      </c>
      <c r="G86" s="9" t="s">
        <v>3849</v>
      </c>
      <c r="I86" s="5" t="s">
        <v>4445</v>
      </c>
      <c r="J86" s="5" t="s">
        <v>6518</v>
      </c>
      <c r="K86" s="5" t="s">
        <v>3904</v>
      </c>
      <c r="M86" s="6"/>
    </row>
    <row r="87" spans="1:13" x14ac:dyDescent="0.25">
      <c r="A87" t="s">
        <v>1842</v>
      </c>
      <c r="B87" s="9">
        <v>-150</v>
      </c>
      <c r="C87">
        <v>150</v>
      </c>
      <c r="D87" s="9" t="s">
        <v>1843</v>
      </c>
      <c r="F87" t="s">
        <v>3740</v>
      </c>
      <c r="G87" s="9" t="s">
        <v>3849</v>
      </c>
      <c r="I87" s="5" t="s">
        <v>4446</v>
      </c>
      <c r="J87" s="5" t="s">
        <v>6519</v>
      </c>
      <c r="K87" s="5" t="s">
        <v>3904</v>
      </c>
      <c r="M87" s="6"/>
    </row>
    <row r="88" spans="1:13" x14ac:dyDescent="0.25">
      <c r="A88" t="s">
        <v>1844</v>
      </c>
      <c r="B88" s="9">
        <v>0</v>
      </c>
      <c r="C88">
        <v>150</v>
      </c>
      <c r="D88" s="9" t="s">
        <v>6658</v>
      </c>
      <c r="E88" t="s">
        <v>6635</v>
      </c>
      <c r="F88" t="s">
        <v>3741</v>
      </c>
      <c r="G88" s="9" t="s">
        <v>3849</v>
      </c>
      <c r="I88" s="5" t="s">
        <v>4447</v>
      </c>
      <c r="J88" s="5" t="s">
        <v>6520</v>
      </c>
      <c r="K88" s="5" t="s">
        <v>3868</v>
      </c>
      <c r="M88" s="6">
        <v>142</v>
      </c>
    </row>
    <row r="89" spans="1:13" x14ac:dyDescent="0.25">
      <c r="A89" t="s">
        <v>1846</v>
      </c>
      <c r="B89" s="9">
        <v>0</v>
      </c>
      <c r="C89">
        <v>150</v>
      </c>
      <c r="D89" s="9" t="s">
        <v>3589</v>
      </c>
      <c r="F89" t="s">
        <v>3742</v>
      </c>
      <c r="G89" s="9" t="s">
        <v>3849</v>
      </c>
      <c r="I89" s="5" t="s">
        <v>4448</v>
      </c>
      <c r="J89" s="5" t="s">
        <v>6521</v>
      </c>
      <c r="K89" s="5" t="s">
        <v>3868</v>
      </c>
      <c r="M89" s="6"/>
    </row>
    <row r="90" spans="1:13" x14ac:dyDescent="0.25">
      <c r="A90" t="s">
        <v>1848</v>
      </c>
      <c r="B90" s="9">
        <v>-150</v>
      </c>
      <c r="C90">
        <v>150</v>
      </c>
      <c r="D90" s="9" t="s">
        <v>1849</v>
      </c>
      <c r="F90" t="s">
        <v>3744</v>
      </c>
      <c r="G90" s="9" t="s">
        <v>3849</v>
      </c>
      <c r="I90" s="5" t="s">
        <v>4456</v>
      </c>
      <c r="J90" s="5" t="s">
        <v>6522</v>
      </c>
      <c r="K90" s="5" t="s">
        <v>3868</v>
      </c>
      <c r="M90" s="6">
        <v>76</v>
      </c>
    </row>
    <row r="91" spans="1:13" x14ac:dyDescent="0.25">
      <c r="A91" t="s">
        <v>1850</v>
      </c>
      <c r="B91" s="9">
        <v>-150</v>
      </c>
      <c r="C91">
        <v>150</v>
      </c>
      <c r="D91" s="9" t="s">
        <v>1851</v>
      </c>
      <c r="F91" t="s">
        <v>3745</v>
      </c>
      <c r="G91" s="9" t="s">
        <v>3849</v>
      </c>
      <c r="I91" s="5" t="s">
        <v>4457</v>
      </c>
      <c r="J91" s="5" t="s">
        <v>6523</v>
      </c>
      <c r="K91" s="5" t="s">
        <v>3868</v>
      </c>
      <c r="M91" s="6">
        <v>46</v>
      </c>
    </row>
    <row r="92" spans="1:13" x14ac:dyDescent="0.25">
      <c r="A92" t="s">
        <v>1852</v>
      </c>
      <c r="B92" s="9">
        <v>-150</v>
      </c>
      <c r="C92">
        <v>150</v>
      </c>
      <c r="D92" s="9" t="s">
        <v>1853</v>
      </c>
      <c r="F92" t="s">
        <v>3746</v>
      </c>
      <c r="G92" s="9" t="s">
        <v>3849</v>
      </c>
      <c r="I92" s="5" t="s">
        <v>4465</v>
      </c>
      <c r="J92" s="5" t="s">
        <v>6524</v>
      </c>
      <c r="K92" s="5" t="s">
        <v>3868</v>
      </c>
      <c r="M92" s="6"/>
    </row>
    <row r="93" spans="1:13" x14ac:dyDescent="0.25">
      <c r="A93" t="s">
        <v>1854</v>
      </c>
      <c r="B93" s="9">
        <v>-150</v>
      </c>
      <c r="C93">
        <v>150</v>
      </c>
      <c r="D93" s="9" t="s">
        <v>1855</v>
      </c>
      <c r="F93" t="s">
        <v>3747</v>
      </c>
      <c r="G93" s="9" t="s">
        <v>3849</v>
      </c>
      <c r="I93" s="5" t="s">
        <v>4490</v>
      </c>
      <c r="J93" s="5" t="s">
        <v>6525</v>
      </c>
      <c r="K93" s="5" t="s">
        <v>3868</v>
      </c>
      <c r="M93" s="6"/>
    </row>
    <row r="94" spans="1:13" x14ac:dyDescent="0.25">
      <c r="A94" t="s">
        <v>1856</v>
      </c>
      <c r="B94" s="9">
        <v>-150</v>
      </c>
      <c r="C94">
        <v>150</v>
      </c>
      <c r="D94" s="9" t="s">
        <v>1857</v>
      </c>
      <c r="F94" t="s">
        <v>3642</v>
      </c>
      <c r="G94" s="9" t="s">
        <v>3849</v>
      </c>
      <c r="I94" s="5" t="s">
        <v>4505</v>
      </c>
      <c r="J94" s="5" t="s">
        <v>6526</v>
      </c>
      <c r="K94" s="5" t="s">
        <v>3868</v>
      </c>
      <c r="M94" s="6"/>
    </row>
    <row r="95" spans="1:13" x14ac:dyDescent="0.25">
      <c r="A95" t="s">
        <v>1858</v>
      </c>
      <c r="B95" s="9">
        <v>-150</v>
      </c>
      <c r="C95">
        <v>150</v>
      </c>
      <c r="D95" s="9" t="s">
        <v>1859</v>
      </c>
      <c r="F95" t="s">
        <v>3748</v>
      </c>
      <c r="G95" s="9" t="s">
        <v>3849</v>
      </c>
      <c r="I95" s="5" t="s">
        <v>4509</v>
      </c>
      <c r="J95" s="5" t="s">
        <v>6530</v>
      </c>
      <c r="K95" s="5" t="s">
        <v>3868</v>
      </c>
      <c r="M95" s="6"/>
    </row>
    <row r="96" spans="1:13" x14ac:dyDescent="0.25">
      <c r="A96" t="s">
        <v>1860</v>
      </c>
      <c r="B96" s="9">
        <v>-150</v>
      </c>
      <c r="C96">
        <v>150</v>
      </c>
      <c r="D96" s="9" t="s">
        <v>1861</v>
      </c>
      <c r="F96" t="s">
        <v>3750</v>
      </c>
      <c r="G96" s="9" t="s">
        <v>3849</v>
      </c>
      <c r="I96" s="5" t="s">
        <v>4511</v>
      </c>
      <c r="J96" s="5" t="s">
        <v>6531</v>
      </c>
      <c r="K96" s="5" t="s">
        <v>3904</v>
      </c>
      <c r="M96" s="6">
        <v>25</v>
      </c>
    </row>
    <row r="97" spans="1:13" x14ac:dyDescent="0.25">
      <c r="A97" t="s">
        <v>1862</v>
      </c>
      <c r="B97" s="9">
        <v>-150</v>
      </c>
      <c r="C97">
        <v>150</v>
      </c>
      <c r="D97" s="9" t="s">
        <v>1863</v>
      </c>
      <c r="F97" t="s">
        <v>3752</v>
      </c>
      <c r="G97" s="9" t="s">
        <v>3849</v>
      </c>
      <c r="I97" s="5" t="s">
        <v>4512</v>
      </c>
      <c r="J97" s="5" t="s">
        <v>6535</v>
      </c>
      <c r="K97" s="5" t="s">
        <v>3868</v>
      </c>
      <c r="M97" s="6">
        <v>4</v>
      </c>
    </row>
    <row r="98" spans="1:13" x14ac:dyDescent="0.25">
      <c r="A98" t="s">
        <v>1864</v>
      </c>
      <c r="B98" s="9">
        <v>0</v>
      </c>
      <c r="C98">
        <v>150</v>
      </c>
      <c r="D98" s="9" t="s">
        <v>6659</v>
      </c>
      <c r="E98" t="s">
        <v>6635</v>
      </c>
      <c r="F98" t="s">
        <v>3753</v>
      </c>
      <c r="G98" s="9" t="s">
        <v>3849</v>
      </c>
      <c r="I98" s="5" t="s">
        <v>4518</v>
      </c>
      <c r="J98" s="5" t="s">
        <v>6536</v>
      </c>
      <c r="K98" s="5" t="s">
        <v>3868</v>
      </c>
      <c r="M98" s="6"/>
    </row>
    <row r="99" spans="1:13" x14ac:dyDescent="0.25">
      <c r="A99" t="s">
        <v>1866</v>
      </c>
      <c r="B99" s="9">
        <v>-150</v>
      </c>
      <c r="C99">
        <v>150</v>
      </c>
      <c r="D99" s="9" t="s">
        <v>1867</v>
      </c>
      <c r="F99" t="s">
        <v>3753</v>
      </c>
      <c r="G99" s="9" t="s">
        <v>3849</v>
      </c>
      <c r="I99" s="5" t="s">
        <v>4519</v>
      </c>
      <c r="J99" s="5" t="s">
        <v>6537</v>
      </c>
      <c r="K99" s="5" t="s">
        <v>3868</v>
      </c>
      <c r="M99" s="6">
        <v>134</v>
      </c>
    </row>
    <row r="100" spans="1:13" s="1" customFormat="1" x14ac:dyDescent="0.25">
      <c r="A100" t="s">
        <v>1868</v>
      </c>
      <c r="B100" s="9">
        <v>-150</v>
      </c>
      <c r="C100">
        <v>150</v>
      </c>
      <c r="D100" s="9" t="s">
        <v>1869</v>
      </c>
      <c r="E100"/>
      <c r="F100" t="s">
        <v>3755</v>
      </c>
      <c r="G100" s="9" t="s">
        <v>3849</v>
      </c>
      <c r="H100"/>
      <c r="I100" s="5" t="s">
        <v>4536</v>
      </c>
      <c r="J100" s="5" t="s">
        <v>6538</v>
      </c>
      <c r="K100" s="5" t="s">
        <v>3904</v>
      </c>
      <c r="L100" s="5"/>
      <c r="M100" s="6">
        <v>25</v>
      </c>
    </row>
    <row r="101" spans="1:13" s="1" customFormat="1" x14ac:dyDescent="0.25">
      <c r="A101" s="25" t="s">
        <v>6840</v>
      </c>
      <c r="B101" s="26">
        <v>-150</v>
      </c>
      <c r="C101" s="25">
        <v>150</v>
      </c>
      <c r="D101" s="26" t="s">
        <v>3860</v>
      </c>
      <c r="E101" s="25"/>
      <c r="F101" s="25" t="s">
        <v>3861</v>
      </c>
      <c r="G101" s="26" t="s">
        <v>3849</v>
      </c>
      <c r="H101"/>
      <c r="I101" s="5"/>
      <c r="J101" s="5"/>
      <c r="K101" s="5" t="s">
        <v>3868</v>
      </c>
      <c r="L101" s="5"/>
      <c r="M101"/>
    </row>
    <row r="102" spans="1:13" s="1" customFormat="1" x14ac:dyDescent="0.25">
      <c r="A102" s="44" t="s">
        <v>1870</v>
      </c>
      <c r="B102" s="45">
        <v>0</v>
      </c>
      <c r="C102" s="44">
        <v>150</v>
      </c>
      <c r="D102" s="45" t="s">
        <v>3599</v>
      </c>
      <c r="E102" s="44" t="s">
        <v>3599</v>
      </c>
      <c r="F102" s="44" t="s">
        <v>3839</v>
      </c>
      <c r="G102" s="45" t="s">
        <v>3849</v>
      </c>
      <c r="H102"/>
      <c r="I102" s="5" t="s">
        <v>4551</v>
      </c>
      <c r="J102" s="5" t="s">
        <v>6539</v>
      </c>
      <c r="K102" s="5" t="s">
        <v>4097</v>
      </c>
      <c r="L102" s="5" t="s">
        <v>6540</v>
      </c>
      <c r="M102" s="6"/>
    </row>
    <row r="103" spans="1:13" x14ac:dyDescent="0.25">
      <c r="A103" s="44" t="s">
        <v>1872</v>
      </c>
      <c r="B103" s="45">
        <v>0</v>
      </c>
      <c r="C103" s="44">
        <v>150</v>
      </c>
      <c r="D103" s="45" t="s">
        <v>3598</v>
      </c>
      <c r="E103" s="44" t="s">
        <v>3598</v>
      </c>
      <c r="F103" s="44" t="s">
        <v>3839</v>
      </c>
      <c r="G103" s="45" t="s">
        <v>3849</v>
      </c>
      <c r="I103" s="5" t="s">
        <v>4552</v>
      </c>
      <c r="J103" s="5" t="s">
        <v>6541</v>
      </c>
      <c r="K103" s="5" t="s">
        <v>4097</v>
      </c>
      <c r="L103" s="5" t="s">
        <v>6540</v>
      </c>
      <c r="M103" s="6"/>
    </row>
    <row r="104" spans="1:13" x14ac:dyDescent="0.25">
      <c r="A104" s="44" t="s">
        <v>1874</v>
      </c>
      <c r="B104" s="45">
        <v>0</v>
      </c>
      <c r="C104" s="44">
        <v>150</v>
      </c>
      <c r="D104" s="45" t="s">
        <v>3607</v>
      </c>
      <c r="E104" s="44" t="s">
        <v>3607</v>
      </c>
      <c r="F104" s="44" t="s">
        <v>3839</v>
      </c>
      <c r="G104" s="45" t="s">
        <v>3849</v>
      </c>
      <c r="I104" s="5" t="s">
        <v>4553</v>
      </c>
      <c r="J104" s="5" t="s">
        <v>6542</v>
      </c>
      <c r="K104" s="5" t="s">
        <v>4097</v>
      </c>
      <c r="L104" s="5" t="s">
        <v>6540</v>
      </c>
      <c r="M104" s="6"/>
    </row>
    <row r="105" spans="1:13" x14ac:dyDescent="0.25">
      <c r="A105" t="s">
        <v>1876</v>
      </c>
      <c r="B105" s="9">
        <f>B108</f>
        <v>-150</v>
      </c>
      <c r="C105">
        <v>150</v>
      </c>
      <c r="D105" s="9" t="s">
        <v>1877</v>
      </c>
      <c r="F105" t="s">
        <v>3756</v>
      </c>
      <c r="G105" s="9" t="s">
        <v>3849</v>
      </c>
      <c r="I105" s="5" t="s">
        <v>4555</v>
      </c>
      <c r="J105" s="5" t="s">
        <v>6543</v>
      </c>
      <c r="K105" s="5" t="s">
        <v>3868</v>
      </c>
      <c r="M105" s="6"/>
    </row>
    <row r="106" spans="1:13" x14ac:dyDescent="0.25">
      <c r="A106" t="s">
        <v>1878</v>
      </c>
      <c r="B106" s="9">
        <v>-150</v>
      </c>
      <c r="C106">
        <v>150</v>
      </c>
      <c r="D106" s="9" t="s">
        <v>1879</v>
      </c>
      <c r="F106" t="s">
        <v>3758</v>
      </c>
      <c r="G106" s="9" t="s">
        <v>3849</v>
      </c>
      <c r="I106" s="5" t="s">
        <v>4566</v>
      </c>
      <c r="J106" s="5" t="s">
        <v>6544</v>
      </c>
      <c r="K106" s="5" t="s">
        <v>3868</v>
      </c>
      <c r="M106" s="6">
        <v>5</v>
      </c>
    </row>
    <row r="107" spans="1:13" x14ac:dyDescent="0.25">
      <c r="A107" t="s">
        <v>1880</v>
      </c>
      <c r="B107" s="9">
        <v>0</v>
      </c>
      <c r="C107">
        <v>150</v>
      </c>
      <c r="D107" s="9" t="s">
        <v>6660</v>
      </c>
      <c r="E107" t="s">
        <v>6635</v>
      </c>
      <c r="F107" t="s">
        <v>3759</v>
      </c>
      <c r="G107" s="9" t="s">
        <v>3849</v>
      </c>
      <c r="I107" s="5" t="s">
        <v>4572</v>
      </c>
      <c r="J107" s="5" t="s">
        <v>6545</v>
      </c>
      <c r="K107" s="5" t="s">
        <v>3868</v>
      </c>
      <c r="M107" s="6"/>
    </row>
    <row r="108" spans="1:13" x14ac:dyDescent="0.25">
      <c r="A108" t="s">
        <v>1882</v>
      </c>
      <c r="B108" s="9">
        <v>-150</v>
      </c>
      <c r="C108">
        <v>150</v>
      </c>
      <c r="D108" s="9" t="s">
        <v>1883</v>
      </c>
      <c r="F108" t="s">
        <v>3759</v>
      </c>
      <c r="G108" s="9" t="s">
        <v>3849</v>
      </c>
      <c r="I108" s="5" t="s">
        <v>4573</v>
      </c>
      <c r="J108" s="5" t="s">
        <v>6546</v>
      </c>
      <c r="K108" s="5" t="s">
        <v>3868</v>
      </c>
      <c r="M108" s="6"/>
    </row>
    <row r="109" spans="1:13" x14ac:dyDescent="0.25">
      <c r="A109" t="s">
        <v>1884</v>
      </c>
      <c r="B109" s="9">
        <v>-150</v>
      </c>
      <c r="C109">
        <v>150</v>
      </c>
      <c r="D109" s="9" t="s">
        <v>1885</v>
      </c>
      <c r="F109" t="s">
        <v>3760</v>
      </c>
      <c r="G109" s="9" t="s">
        <v>3849</v>
      </c>
      <c r="I109" s="5" t="s">
        <v>4580</v>
      </c>
      <c r="J109" s="5" t="s">
        <v>6547</v>
      </c>
      <c r="K109" s="5" t="s">
        <v>3868</v>
      </c>
      <c r="M109" s="6" t="s">
        <v>6548</v>
      </c>
    </row>
    <row r="110" spans="1:13" x14ac:dyDescent="0.25">
      <c r="A110" t="s">
        <v>1886</v>
      </c>
      <c r="B110" s="9">
        <v>-150</v>
      </c>
      <c r="C110">
        <v>150</v>
      </c>
      <c r="D110" s="9" t="s">
        <v>1887</v>
      </c>
      <c r="F110" t="s">
        <v>3643</v>
      </c>
      <c r="G110" s="9" t="s">
        <v>3849</v>
      </c>
      <c r="I110" s="5" t="s">
        <v>4583</v>
      </c>
      <c r="J110" s="5" t="s">
        <v>5269</v>
      </c>
      <c r="K110" s="5" t="s">
        <v>3868</v>
      </c>
      <c r="M110" s="6">
        <v>75</v>
      </c>
    </row>
    <row r="111" spans="1:13" x14ac:dyDescent="0.25">
      <c r="A111" t="s">
        <v>1888</v>
      </c>
      <c r="B111" s="9">
        <v>0</v>
      </c>
      <c r="C111">
        <v>150</v>
      </c>
      <c r="D111" s="9" t="s">
        <v>6661</v>
      </c>
      <c r="E111" t="s">
        <v>6635</v>
      </c>
      <c r="F111" t="s">
        <v>3761</v>
      </c>
      <c r="G111" s="9" t="s">
        <v>3849</v>
      </c>
      <c r="I111" s="5" t="s">
        <v>4596</v>
      </c>
      <c r="J111" s="5" t="s">
        <v>6549</v>
      </c>
      <c r="K111" s="5" t="s">
        <v>3868</v>
      </c>
      <c r="M111" s="6"/>
    </row>
    <row r="112" spans="1:13" x14ac:dyDescent="0.25">
      <c r="A112" t="s">
        <v>1890</v>
      </c>
      <c r="B112" s="9">
        <v>-150</v>
      </c>
      <c r="C112">
        <v>150</v>
      </c>
      <c r="D112" s="9" t="s">
        <v>1891</v>
      </c>
      <c r="F112" t="s">
        <v>3762</v>
      </c>
      <c r="G112" s="9" t="s">
        <v>3849</v>
      </c>
      <c r="I112" s="5" t="s">
        <v>4609</v>
      </c>
      <c r="J112" s="5" t="s">
        <v>6550</v>
      </c>
      <c r="K112" s="5" t="s">
        <v>3868</v>
      </c>
      <c r="M112" s="6"/>
    </row>
    <row r="113" spans="1:13" x14ac:dyDescent="0.25">
      <c r="A113" t="s">
        <v>1892</v>
      </c>
      <c r="B113" s="9">
        <v>-150</v>
      </c>
      <c r="C113">
        <v>150</v>
      </c>
      <c r="D113" s="9" t="s">
        <v>1893</v>
      </c>
      <c r="F113" t="s">
        <v>3763</v>
      </c>
      <c r="G113" s="9" t="s">
        <v>3849</v>
      </c>
      <c r="I113" s="5" t="s">
        <v>4617</v>
      </c>
      <c r="J113" s="5" t="s">
        <v>6551</v>
      </c>
      <c r="K113" s="5" t="s">
        <v>3868</v>
      </c>
      <c r="M113" s="6"/>
    </row>
    <row r="114" spans="1:13" x14ac:dyDescent="0.25">
      <c r="A114" t="s">
        <v>1894</v>
      </c>
      <c r="B114" s="9">
        <v>0</v>
      </c>
      <c r="C114">
        <v>150</v>
      </c>
      <c r="D114" s="9" t="s">
        <v>6662</v>
      </c>
      <c r="E114" t="s">
        <v>6635</v>
      </c>
      <c r="F114" t="s">
        <v>3764</v>
      </c>
      <c r="G114" s="9" t="s">
        <v>3849</v>
      </c>
      <c r="I114" s="5" t="s">
        <v>4621</v>
      </c>
      <c r="J114" s="5" t="s">
        <v>6552</v>
      </c>
      <c r="K114" s="5" t="s">
        <v>3868</v>
      </c>
      <c r="M114" s="6"/>
    </row>
    <row r="115" spans="1:13" x14ac:dyDescent="0.25">
      <c r="A115" t="s">
        <v>1896</v>
      </c>
      <c r="B115" s="9">
        <v>-150</v>
      </c>
      <c r="C115">
        <v>150</v>
      </c>
      <c r="D115" s="9" t="s">
        <v>1897</v>
      </c>
      <c r="F115" t="s">
        <v>3764</v>
      </c>
      <c r="G115" s="9" t="s">
        <v>3849</v>
      </c>
      <c r="I115" s="5" t="s">
        <v>4622</v>
      </c>
      <c r="J115" s="5" t="s">
        <v>6553</v>
      </c>
      <c r="K115" s="5" t="s">
        <v>3868</v>
      </c>
      <c r="M115" s="6"/>
    </row>
    <row r="116" spans="1:13" x14ac:dyDescent="0.25">
      <c r="A116" t="s">
        <v>1898</v>
      </c>
      <c r="B116" s="9">
        <v>-150</v>
      </c>
      <c r="C116">
        <v>150</v>
      </c>
      <c r="D116" s="9" t="s">
        <v>1899</v>
      </c>
      <c r="F116" t="s">
        <v>3766</v>
      </c>
      <c r="G116" s="9" t="s">
        <v>3849</v>
      </c>
      <c r="I116" s="5" t="s">
        <v>4629</v>
      </c>
      <c r="J116" s="5" t="s">
        <v>6554</v>
      </c>
      <c r="K116" s="5" t="s">
        <v>3868</v>
      </c>
      <c r="M116" s="6">
        <v>76</v>
      </c>
    </row>
    <row r="117" spans="1:13" x14ac:dyDescent="0.25">
      <c r="A117" t="s">
        <v>1900</v>
      </c>
      <c r="B117" s="9">
        <v>0</v>
      </c>
      <c r="C117">
        <v>150</v>
      </c>
      <c r="D117" s="9" t="s">
        <v>6663</v>
      </c>
      <c r="E117" t="s">
        <v>6635</v>
      </c>
      <c r="F117" t="s">
        <v>3767</v>
      </c>
      <c r="G117" s="9" t="s">
        <v>3849</v>
      </c>
      <c r="I117" s="5" t="s">
        <v>4637</v>
      </c>
      <c r="J117" s="5" t="s">
        <v>6555</v>
      </c>
      <c r="K117" s="5" t="s">
        <v>3868</v>
      </c>
      <c r="M117" s="6"/>
    </row>
    <row r="118" spans="1:13" x14ac:dyDescent="0.25">
      <c r="A118" t="s">
        <v>1902</v>
      </c>
      <c r="B118" s="9">
        <v>-150</v>
      </c>
      <c r="C118">
        <v>150</v>
      </c>
      <c r="D118" s="9" t="s">
        <v>1903</v>
      </c>
      <c r="F118" t="s">
        <v>3768</v>
      </c>
      <c r="G118" s="9" t="s">
        <v>3849</v>
      </c>
      <c r="I118" s="5" t="s">
        <v>4640</v>
      </c>
      <c r="J118" s="5" t="s">
        <v>6556</v>
      </c>
      <c r="K118" s="5" t="s">
        <v>3868</v>
      </c>
      <c r="M118" s="6"/>
    </row>
    <row r="119" spans="1:13" x14ac:dyDescent="0.25">
      <c r="A119" t="s">
        <v>1904</v>
      </c>
      <c r="B119" s="9">
        <v>0</v>
      </c>
      <c r="C119">
        <v>150</v>
      </c>
      <c r="D119" s="9" t="s">
        <v>1905</v>
      </c>
      <c r="F119" t="s">
        <v>3645</v>
      </c>
      <c r="G119" s="9" t="s">
        <v>3849</v>
      </c>
      <c r="I119" s="5" t="s">
        <v>4646</v>
      </c>
      <c r="J119" s="5" t="s">
        <v>6557</v>
      </c>
      <c r="K119" s="5" t="s">
        <v>3868</v>
      </c>
      <c r="M119" s="6">
        <v>53</v>
      </c>
    </row>
    <row r="120" spans="1:13" x14ac:dyDescent="0.25">
      <c r="A120" t="s">
        <v>1906</v>
      </c>
      <c r="B120" s="9">
        <v>-150</v>
      </c>
      <c r="C120">
        <v>150</v>
      </c>
      <c r="D120" s="9" t="s">
        <v>6664</v>
      </c>
      <c r="E120" t="s">
        <v>6635</v>
      </c>
      <c r="F120" t="s">
        <v>3769</v>
      </c>
      <c r="G120" s="9" t="s">
        <v>3849</v>
      </c>
      <c r="I120" s="5" t="s">
        <v>4649</v>
      </c>
      <c r="J120" s="5" t="s">
        <v>6558</v>
      </c>
      <c r="K120" s="5" t="s">
        <v>3868</v>
      </c>
      <c r="M120" s="6">
        <v>10</v>
      </c>
    </row>
    <row r="121" spans="1:13" x14ac:dyDescent="0.25">
      <c r="A121" t="s">
        <v>1908</v>
      </c>
      <c r="B121" s="9">
        <v>-150</v>
      </c>
      <c r="C121">
        <v>150</v>
      </c>
      <c r="D121" s="9" t="s">
        <v>6665</v>
      </c>
      <c r="E121" t="s">
        <v>6635</v>
      </c>
      <c r="F121" t="s">
        <v>3770</v>
      </c>
      <c r="G121" s="9" t="s">
        <v>3849</v>
      </c>
      <c r="I121" s="5" t="s">
        <v>4650</v>
      </c>
      <c r="J121" s="5" t="s">
        <v>6559</v>
      </c>
      <c r="K121" s="5" t="s">
        <v>3868</v>
      </c>
      <c r="M121" s="6">
        <v>10</v>
      </c>
    </row>
    <row r="122" spans="1:13" x14ac:dyDescent="0.25">
      <c r="A122" t="s">
        <v>1910</v>
      </c>
      <c r="B122" s="9">
        <v>-150</v>
      </c>
      <c r="C122">
        <v>150</v>
      </c>
      <c r="D122" s="9" t="s">
        <v>6666</v>
      </c>
      <c r="E122" t="s">
        <v>6635</v>
      </c>
      <c r="F122" t="s">
        <v>3771</v>
      </c>
      <c r="G122" s="9" t="s">
        <v>3849</v>
      </c>
      <c r="I122" s="5" t="s">
        <v>4651</v>
      </c>
      <c r="J122" s="5" t="s">
        <v>6560</v>
      </c>
      <c r="K122" s="5" t="s">
        <v>3868</v>
      </c>
      <c r="M122" s="6">
        <v>10</v>
      </c>
    </row>
    <row r="123" spans="1:13" x14ac:dyDescent="0.25">
      <c r="A123" t="s">
        <v>1912</v>
      </c>
      <c r="B123" s="9">
        <v>-150</v>
      </c>
      <c r="C123">
        <v>150</v>
      </c>
      <c r="D123" s="9" t="s">
        <v>3590</v>
      </c>
      <c r="E123" t="s">
        <v>3623</v>
      </c>
      <c r="F123" t="s">
        <v>3769</v>
      </c>
      <c r="G123" s="9" t="s">
        <v>3849</v>
      </c>
      <c r="I123" s="5" t="s">
        <v>4652</v>
      </c>
      <c r="J123" s="5" t="s">
        <v>6561</v>
      </c>
      <c r="K123" s="5" t="s">
        <v>3868</v>
      </c>
      <c r="M123" s="6">
        <v>139</v>
      </c>
    </row>
    <row r="124" spans="1:13" x14ac:dyDescent="0.25">
      <c r="A124" t="s">
        <v>1914</v>
      </c>
      <c r="B124" s="9">
        <v>-150</v>
      </c>
      <c r="C124">
        <v>150</v>
      </c>
      <c r="D124" s="9" t="s">
        <v>6667</v>
      </c>
      <c r="E124" t="s">
        <v>6635</v>
      </c>
      <c r="F124" t="s">
        <v>3772</v>
      </c>
      <c r="G124" s="9" t="s">
        <v>3849</v>
      </c>
      <c r="I124" s="5" t="s">
        <v>4653</v>
      </c>
      <c r="J124" s="5" t="s">
        <v>6562</v>
      </c>
      <c r="K124" s="5" t="s">
        <v>3868</v>
      </c>
      <c r="M124" s="6">
        <v>10</v>
      </c>
    </row>
    <row r="125" spans="1:13" x14ac:dyDescent="0.25">
      <c r="A125" t="s">
        <v>1916</v>
      </c>
      <c r="B125" s="9">
        <v>-150</v>
      </c>
      <c r="C125">
        <v>150</v>
      </c>
      <c r="D125" s="9" t="s">
        <v>6668</v>
      </c>
      <c r="E125" t="s">
        <v>6635</v>
      </c>
      <c r="F125" t="s">
        <v>3773</v>
      </c>
      <c r="G125" s="9" t="s">
        <v>3849</v>
      </c>
      <c r="I125" s="5" t="s">
        <v>4654</v>
      </c>
      <c r="J125" s="5" t="s">
        <v>6563</v>
      </c>
      <c r="K125" s="5" t="s">
        <v>3868</v>
      </c>
      <c r="M125" s="6">
        <v>10</v>
      </c>
    </row>
    <row r="126" spans="1:13" x14ac:dyDescent="0.25">
      <c r="A126" t="s">
        <v>1918</v>
      </c>
      <c r="B126" s="9">
        <v>0</v>
      </c>
      <c r="C126">
        <v>150</v>
      </c>
      <c r="D126" s="9" t="s">
        <v>6669</v>
      </c>
      <c r="F126" t="s">
        <v>6670</v>
      </c>
      <c r="G126" s="9" t="s">
        <v>3849</v>
      </c>
      <c r="I126" s="5" t="s">
        <v>4659</v>
      </c>
      <c r="J126" s="5" t="s">
        <v>6564</v>
      </c>
      <c r="K126" s="5" t="s">
        <v>3868</v>
      </c>
      <c r="M126" s="6">
        <v>135</v>
      </c>
    </row>
    <row r="127" spans="1:13" x14ac:dyDescent="0.25">
      <c r="A127" t="s">
        <v>1920</v>
      </c>
      <c r="B127" s="9">
        <v>0</v>
      </c>
      <c r="C127">
        <v>150</v>
      </c>
      <c r="D127" s="9" t="s">
        <v>3592</v>
      </c>
      <c r="E127" t="s">
        <v>3624</v>
      </c>
      <c r="F127" t="s">
        <v>3776</v>
      </c>
      <c r="G127" s="9" t="s">
        <v>3849</v>
      </c>
      <c r="I127" s="5" t="s">
        <v>4662</v>
      </c>
      <c r="J127" s="5" t="s">
        <v>6565</v>
      </c>
      <c r="K127" s="5" t="s">
        <v>3868</v>
      </c>
      <c r="M127" s="6">
        <v>132</v>
      </c>
    </row>
    <row r="128" spans="1:13" x14ac:dyDescent="0.25">
      <c r="A128" t="s">
        <v>1922</v>
      </c>
      <c r="B128" s="9">
        <v>-150</v>
      </c>
      <c r="C128">
        <v>150</v>
      </c>
      <c r="D128" s="9" t="s">
        <v>1923</v>
      </c>
      <c r="F128" t="s">
        <v>3777</v>
      </c>
      <c r="G128" s="9" t="s">
        <v>3849</v>
      </c>
      <c r="I128" s="5" t="s">
        <v>4683</v>
      </c>
      <c r="J128" s="5" t="s">
        <v>6566</v>
      </c>
      <c r="K128" s="5" t="s">
        <v>3868</v>
      </c>
      <c r="M128" s="6">
        <v>36</v>
      </c>
    </row>
    <row r="129" spans="1:13" x14ac:dyDescent="0.25">
      <c r="A129" t="s">
        <v>1924</v>
      </c>
      <c r="B129" s="9">
        <v>-150</v>
      </c>
      <c r="C129">
        <v>150</v>
      </c>
      <c r="D129" s="9" t="s">
        <v>6671</v>
      </c>
      <c r="E129" t="s">
        <v>6635</v>
      </c>
      <c r="F129" t="s">
        <v>3778</v>
      </c>
      <c r="G129" s="9" t="s">
        <v>3849</v>
      </c>
      <c r="I129" s="5" t="s">
        <v>4685</v>
      </c>
      <c r="J129" s="5" t="s">
        <v>6567</v>
      </c>
      <c r="K129" s="5" t="s">
        <v>3868</v>
      </c>
      <c r="M129" s="6">
        <v>72</v>
      </c>
    </row>
    <row r="130" spans="1:13" x14ac:dyDescent="0.25">
      <c r="A130" t="s">
        <v>1926</v>
      </c>
      <c r="B130" s="9">
        <v>-150</v>
      </c>
      <c r="C130">
        <v>150</v>
      </c>
      <c r="D130" s="9" t="s">
        <v>6672</v>
      </c>
      <c r="E130" t="s">
        <v>6635</v>
      </c>
      <c r="F130" t="s">
        <v>3779</v>
      </c>
      <c r="G130" s="9" t="s">
        <v>3849</v>
      </c>
      <c r="I130" s="5" t="s">
        <v>4688</v>
      </c>
      <c r="J130" s="5" t="s">
        <v>6568</v>
      </c>
      <c r="K130" s="5" t="s">
        <v>3868</v>
      </c>
      <c r="M130" s="6">
        <v>72</v>
      </c>
    </row>
    <row r="131" spans="1:13" x14ac:dyDescent="0.25">
      <c r="A131" t="s">
        <v>1928</v>
      </c>
      <c r="B131" s="9">
        <v>-150</v>
      </c>
      <c r="C131">
        <v>150</v>
      </c>
      <c r="D131" s="9" t="s">
        <v>3593</v>
      </c>
      <c r="E131" t="s">
        <v>3625</v>
      </c>
      <c r="F131" t="s">
        <v>3780</v>
      </c>
      <c r="G131" s="9" t="s">
        <v>3849</v>
      </c>
      <c r="I131" s="5" t="s">
        <v>4711</v>
      </c>
      <c r="J131" s="5" t="s">
        <v>6569</v>
      </c>
      <c r="K131" s="5" t="s">
        <v>3868</v>
      </c>
      <c r="M131" s="6"/>
    </row>
    <row r="132" spans="1:13" x14ac:dyDescent="0.25">
      <c r="A132" t="s">
        <v>1930</v>
      </c>
      <c r="B132" s="9">
        <v>-150</v>
      </c>
      <c r="C132">
        <v>150</v>
      </c>
      <c r="D132" s="9" t="s">
        <v>1931</v>
      </c>
      <c r="F132" t="s">
        <v>3782</v>
      </c>
      <c r="G132" s="9" t="s">
        <v>3849</v>
      </c>
      <c r="I132" s="5" t="s">
        <v>4729</v>
      </c>
      <c r="J132" s="5" t="s">
        <v>6570</v>
      </c>
      <c r="K132" s="5" t="s">
        <v>3868</v>
      </c>
      <c r="M132" s="6"/>
    </row>
    <row r="133" spans="1:13" x14ac:dyDescent="0.25">
      <c r="A133" s="44" t="s">
        <v>1932</v>
      </c>
      <c r="B133" s="45">
        <v>0</v>
      </c>
      <c r="C133" s="44">
        <v>150</v>
      </c>
      <c r="D133" s="45" t="s">
        <v>3606</v>
      </c>
      <c r="E133" s="44" t="s">
        <v>3632</v>
      </c>
      <c r="F133" s="44" t="s">
        <v>6843</v>
      </c>
      <c r="G133" s="45" t="s">
        <v>3849</v>
      </c>
      <c r="H133" s="46" t="s">
        <v>6844</v>
      </c>
      <c r="I133" s="5" t="s">
        <v>4736</v>
      </c>
      <c r="J133" s="5" t="s">
        <v>6571</v>
      </c>
      <c r="K133" s="5" t="s">
        <v>4097</v>
      </c>
      <c r="L133" s="5" t="s">
        <v>4734</v>
      </c>
      <c r="M133" s="6"/>
    </row>
    <row r="134" spans="1:13" x14ac:dyDescent="0.25">
      <c r="A134" s="44" t="s">
        <v>1933</v>
      </c>
      <c r="B134" s="45">
        <v>0</v>
      </c>
      <c r="C134" s="44">
        <v>150</v>
      </c>
      <c r="D134" s="45" t="s">
        <v>3605</v>
      </c>
      <c r="E134" s="44" t="s">
        <v>3631</v>
      </c>
      <c r="F134" s="44" t="s">
        <v>6843</v>
      </c>
      <c r="G134" s="45" t="s">
        <v>3849</v>
      </c>
      <c r="H134" s="46" t="s">
        <v>6844</v>
      </c>
      <c r="I134" s="5" t="s">
        <v>4737</v>
      </c>
      <c r="J134" s="5" t="s">
        <v>6572</v>
      </c>
      <c r="K134" s="5" t="s">
        <v>4097</v>
      </c>
      <c r="L134" s="5" t="s">
        <v>4734</v>
      </c>
      <c r="M134" s="6"/>
    </row>
    <row r="135" spans="1:13" x14ac:dyDescent="0.25">
      <c r="A135" s="44" t="s">
        <v>1934</v>
      </c>
      <c r="B135" s="45">
        <v>0</v>
      </c>
      <c r="C135" s="44">
        <v>150</v>
      </c>
      <c r="D135" s="45" t="s">
        <v>3608</v>
      </c>
      <c r="E135" s="44" t="s">
        <v>3633</v>
      </c>
      <c r="F135" s="44" t="s">
        <v>6843</v>
      </c>
      <c r="G135" s="45" t="s">
        <v>3849</v>
      </c>
      <c r="H135" s="46" t="s">
        <v>6844</v>
      </c>
      <c r="I135" s="5" t="s">
        <v>4738</v>
      </c>
      <c r="J135" s="5" t="s">
        <v>6573</v>
      </c>
      <c r="K135" s="5" t="s">
        <v>4097</v>
      </c>
      <c r="L135" s="5" t="s">
        <v>4734</v>
      </c>
      <c r="M135" s="6"/>
    </row>
    <row r="136" spans="1:13" x14ac:dyDescent="0.25">
      <c r="A136" t="s">
        <v>1935</v>
      </c>
      <c r="B136" s="9">
        <v>-150</v>
      </c>
      <c r="C136">
        <v>150</v>
      </c>
      <c r="D136" s="9" t="s">
        <v>1938</v>
      </c>
      <c r="F136" t="s">
        <v>3784</v>
      </c>
      <c r="G136" s="9" t="s">
        <v>3849</v>
      </c>
      <c r="I136" s="5" t="s">
        <v>4746</v>
      </c>
      <c r="J136" s="5" t="s">
        <v>6574</v>
      </c>
      <c r="K136" s="5" t="s">
        <v>3868</v>
      </c>
      <c r="M136" s="6"/>
    </row>
    <row r="137" spans="1:13" x14ac:dyDescent="0.25">
      <c r="A137" t="s">
        <v>1939</v>
      </c>
      <c r="B137" s="9">
        <v>-150</v>
      </c>
      <c r="C137">
        <v>150</v>
      </c>
      <c r="D137" s="9" t="s">
        <v>1940</v>
      </c>
      <c r="F137" t="s">
        <v>3786</v>
      </c>
      <c r="G137" s="9" t="s">
        <v>3849</v>
      </c>
      <c r="I137" s="5" t="s">
        <v>4759</v>
      </c>
      <c r="J137" s="5" t="s">
        <v>6576</v>
      </c>
      <c r="K137" s="5" t="s">
        <v>3868</v>
      </c>
      <c r="M137" s="6">
        <v>103</v>
      </c>
    </row>
    <row r="138" spans="1:13" x14ac:dyDescent="0.25">
      <c r="A138" t="s">
        <v>1941</v>
      </c>
      <c r="B138" s="9">
        <v>0</v>
      </c>
      <c r="C138">
        <v>150</v>
      </c>
      <c r="D138" s="9" t="s">
        <v>1942</v>
      </c>
      <c r="F138" t="s">
        <v>3788</v>
      </c>
      <c r="G138" s="9" t="s">
        <v>3849</v>
      </c>
      <c r="I138" s="5" t="s">
        <v>4766</v>
      </c>
      <c r="J138" s="5" t="s">
        <v>6577</v>
      </c>
      <c r="K138" s="5" t="s">
        <v>3868</v>
      </c>
      <c r="M138" s="6"/>
    </row>
    <row r="139" spans="1:13" s="1" customFormat="1" x14ac:dyDescent="0.25">
      <c r="A139" t="s">
        <v>1943</v>
      </c>
      <c r="B139" s="9">
        <v>0</v>
      </c>
      <c r="C139">
        <v>150</v>
      </c>
      <c r="D139" s="9" t="s">
        <v>3611</v>
      </c>
      <c r="E139" t="s">
        <v>3634</v>
      </c>
      <c r="F139" t="s">
        <v>3846</v>
      </c>
      <c r="G139" s="9" t="s">
        <v>3849</v>
      </c>
      <c r="H139"/>
      <c r="I139" s="5" t="s">
        <v>4767</v>
      </c>
      <c r="J139" s="5" t="s">
        <v>6578</v>
      </c>
      <c r="K139" s="5" t="s">
        <v>3868</v>
      </c>
      <c r="L139" s="5" t="s">
        <v>4765</v>
      </c>
      <c r="M139" s="6">
        <v>137</v>
      </c>
    </row>
    <row r="140" spans="1:13" s="1" customFormat="1" x14ac:dyDescent="0.25">
      <c r="A140" t="s">
        <v>1945</v>
      </c>
      <c r="B140" s="9">
        <v>-150</v>
      </c>
      <c r="C140">
        <v>150</v>
      </c>
      <c r="D140" s="9" t="s">
        <v>1946</v>
      </c>
      <c r="E140"/>
      <c r="F140" t="s">
        <v>3789</v>
      </c>
      <c r="G140" s="9" t="s">
        <v>3849</v>
      </c>
      <c r="H140"/>
      <c r="I140" s="5" t="s">
        <v>4775</v>
      </c>
      <c r="J140" s="5" t="s">
        <v>6579</v>
      </c>
      <c r="K140" s="5" t="s">
        <v>3868</v>
      </c>
      <c r="L140" s="5"/>
      <c r="M140" s="6">
        <v>18</v>
      </c>
    </row>
    <row r="141" spans="1:13" x14ac:dyDescent="0.25">
      <c r="A141" s="44" t="s">
        <v>1947</v>
      </c>
      <c r="B141" s="45">
        <v>0</v>
      </c>
      <c r="C141" s="44">
        <v>150</v>
      </c>
      <c r="D141" s="45" t="s">
        <v>3602</v>
      </c>
      <c r="E141" s="44" t="s">
        <v>1948</v>
      </c>
      <c r="F141" s="44" t="s">
        <v>3843</v>
      </c>
      <c r="G141" s="45" t="s">
        <v>3849</v>
      </c>
      <c r="H141" t="s">
        <v>6845</v>
      </c>
      <c r="I141" s="5" t="s">
        <v>4776</v>
      </c>
      <c r="J141" s="5" t="s">
        <v>6580</v>
      </c>
      <c r="K141" s="5" t="s">
        <v>4097</v>
      </c>
      <c r="L141" s="5" t="s">
        <v>6581</v>
      </c>
      <c r="M141" s="6"/>
    </row>
    <row r="142" spans="1:13" x14ac:dyDescent="0.25">
      <c r="A142" s="44" t="s">
        <v>1949</v>
      </c>
      <c r="B142" s="45">
        <v>0</v>
      </c>
      <c r="C142" s="44">
        <v>150</v>
      </c>
      <c r="D142" s="45" t="s">
        <v>3600</v>
      </c>
      <c r="E142" s="44" t="s">
        <v>3600</v>
      </c>
      <c r="F142" s="44" t="s">
        <v>3843</v>
      </c>
      <c r="G142" s="45" t="s">
        <v>3849</v>
      </c>
      <c r="H142" t="s">
        <v>6845</v>
      </c>
      <c r="I142" s="5" t="s">
        <v>4777</v>
      </c>
      <c r="J142" s="5" t="s">
        <v>6582</v>
      </c>
      <c r="K142" s="5" t="s">
        <v>4097</v>
      </c>
      <c r="M142" s="6"/>
    </row>
    <row r="143" spans="1:13" x14ac:dyDescent="0.25">
      <c r="A143" t="s">
        <v>1951</v>
      </c>
      <c r="B143" s="9">
        <v>0</v>
      </c>
      <c r="C143">
        <v>150</v>
      </c>
      <c r="D143" s="9" t="s">
        <v>3594</v>
      </c>
      <c r="F143" t="s">
        <v>3791</v>
      </c>
      <c r="G143" s="9" t="s">
        <v>3849</v>
      </c>
      <c r="I143" s="5" t="s">
        <v>4778</v>
      </c>
      <c r="J143" s="5" t="s">
        <v>6583</v>
      </c>
      <c r="K143" s="5" t="s">
        <v>3868</v>
      </c>
      <c r="M143" s="6">
        <v>18</v>
      </c>
    </row>
    <row r="144" spans="1:13" x14ac:dyDescent="0.25">
      <c r="A144" t="s">
        <v>1953</v>
      </c>
      <c r="B144" s="9">
        <v>-150</v>
      </c>
      <c r="C144">
        <v>150</v>
      </c>
      <c r="D144" s="9" t="s">
        <v>1954</v>
      </c>
      <c r="F144" t="s">
        <v>3792</v>
      </c>
      <c r="G144" s="9" t="s">
        <v>3849</v>
      </c>
      <c r="I144" s="5" t="s">
        <v>4804</v>
      </c>
      <c r="J144" s="5" t="s">
        <v>6584</v>
      </c>
      <c r="K144" s="5" t="s">
        <v>3868</v>
      </c>
      <c r="M144" s="6"/>
    </row>
    <row r="145" spans="1:13" x14ac:dyDescent="0.25">
      <c r="A145" t="s">
        <v>1955</v>
      </c>
      <c r="B145" s="9">
        <v>-150</v>
      </c>
      <c r="C145">
        <v>150</v>
      </c>
      <c r="D145" s="9" t="s">
        <v>1956</v>
      </c>
      <c r="F145" t="s">
        <v>3794</v>
      </c>
      <c r="G145" s="9" t="s">
        <v>3849</v>
      </c>
      <c r="I145" s="5" t="s">
        <v>4808</v>
      </c>
      <c r="J145" s="5" t="s">
        <v>6585</v>
      </c>
      <c r="K145" s="5" t="s">
        <v>3868</v>
      </c>
      <c r="M145" s="6">
        <v>4</v>
      </c>
    </row>
    <row r="146" spans="1:13" x14ac:dyDescent="0.25">
      <c r="A146" t="s">
        <v>1957</v>
      </c>
      <c r="B146" s="9">
        <v>0</v>
      </c>
      <c r="C146">
        <v>150</v>
      </c>
      <c r="D146" s="9" t="s">
        <v>6673</v>
      </c>
      <c r="E146" t="s">
        <v>6635</v>
      </c>
      <c r="F146" t="s">
        <v>3795</v>
      </c>
      <c r="G146" s="9" t="s">
        <v>3849</v>
      </c>
      <c r="I146" s="5" t="s">
        <v>4823</v>
      </c>
      <c r="J146" s="5" t="s">
        <v>6586</v>
      </c>
      <c r="K146" s="5" t="s">
        <v>3868</v>
      </c>
      <c r="M146" s="6"/>
    </row>
    <row r="147" spans="1:13" x14ac:dyDescent="0.25">
      <c r="A147" t="s">
        <v>1959</v>
      </c>
      <c r="B147" s="9">
        <v>-150</v>
      </c>
      <c r="C147">
        <v>150</v>
      </c>
      <c r="D147" s="9" t="s">
        <v>1960</v>
      </c>
      <c r="F147" t="s">
        <v>3796</v>
      </c>
      <c r="G147" s="9" t="s">
        <v>3849</v>
      </c>
      <c r="I147" s="5" t="s">
        <v>4883</v>
      </c>
      <c r="J147" s="5" t="s">
        <v>6587</v>
      </c>
      <c r="K147" s="5" t="s">
        <v>3868</v>
      </c>
      <c r="M147" s="6"/>
    </row>
    <row r="148" spans="1:13" x14ac:dyDescent="0.25">
      <c r="A148" t="s">
        <v>1961</v>
      </c>
      <c r="B148" s="9">
        <v>0</v>
      </c>
      <c r="C148">
        <v>150</v>
      </c>
      <c r="D148" s="9" t="s">
        <v>6676</v>
      </c>
      <c r="E148" t="s">
        <v>6635</v>
      </c>
      <c r="F148" t="s">
        <v>3797</v>
      </c>
      <c r="G148" s="9" t="s">
        <v>3849</v>
      </c>
      <c r="I148" s="5" t="s">
        <v>4886</v>
      </c>
      <c r="J148" s="5" t="s">
        <v>6588</v>
      </c>
      <c r="K148" s="5" t="s">
        <v>3868</v>
      </c>
      <c r="M148" s="6"/>
    </row>
    <row r="149" spans="1:13" x14ac:dyDescent="0.25">
      <c r="A149" t="s">
        <v>1963</v>
      </c>
      <c r="B149" s="9">
        <v>-150</v>
      </c>
      <c r="C149">
        <v>150</v>
      </c>
      <c r="D149" s="9" t="s">
        <v>1964</v>
      </c>
      <c r="F149" t="s">
        <v>3798</v>
      </c>
      <c r="G149" s="9" t="s">
        <v>3849</v>
      </c>
      <c r="I149" s="5" t="s">
        <v>4887</v>
      </c>
      <c r="J149" s="5" t="s">
        <v>6589</v>
      </c>
      <c r="K149" s="5" t="s">
        <v>3868</v>
      </c>
      <c r="M149" s="6"/>
    </row>
    <row r="150" spans="1:13" x14ac:dyDescent="0.25">
      <c r="A150" t="s">
        <v>1965</v>
      </c>
      <c r="B150" s="9">
        <v>-150</v>
      </c>
      <c r="C150">
        <v>150</v>
      </c>
      <c r="D150" s="9" t="s">
        <v>1966</v>
      </c>
      <c r="F150" t="s">
        <v>3799</v>
      </c>
      <c r="G150" s="9" t="s">
        <v>3849</v>
      </c>
      <c r="I150" s="5" t="s">
        <v>4899</v>
      </c>
      <c r="J150" s="5" t="s">
        <v>6590</v>
      </c>
      <c r="K150" s="5" t="s">
        <v>3868</v>
      </c>
      <c r="M150" s="6"/>
    </row>
    <row r="151" spans="1:13" x14ac:dyDescent="0.25">
      <c r="A151" t="s">
        <v>1967</v>
      </c>
      <c r="B151" s="9">
        <v>-150</v>
      </c>
      <c r="C151">
        <v>150</v>
      </c>
      <c r="D151" s="9" t="s">
        <v>1968</v>
      </c>
      <c r="F151" t="s">
        <v>3801</v>
      </c>
      <c r="G151" s="9" t="s">
        <v>3849</v>
      </c>
      <c r="I151" s="5" t="s">
        <v>4926</v>
      </c>
      <c r="J151" s="5" t="s">
        <v>6591</v>
      </c>
      <c r="K151" s="5" t="s">
        <v>3868</v>
      </c>
      <c r="M151" s="6"/>
    </row>
    <row r="152" spans="1:13" x14ac:dyDescent="0.25">
      <c r="A152" t="s">
        <v>1969</v>
      </c>
      <c r="B152" s="9">
        <v>0</v>
      </c>
      <c r="C152">
        <v>150</v>
      </c>
      <c r="D152" s="9" t="s">
        <v>6674</v>
      </c>
      <c r="E152" t="s">
        <v>6635</v>
      </c>
      <c r="F152" t="s">
        <v>3802</v>
      </c>
      <c r="G152" s="9" t="s">
        <v>3849</v>
      </c>
      <c r="I152" s="5" t="s">
        <v>4946</v>
      </c>
      <c r="J152" s="5" t="s">
        <v>6592</v>
      </c>
      <c r="K152" s="5" t="s">
        <v>3868</v>
      </c>
      <c r="M152" s="6"/>
    </row>
    <row r="153" spans="1:13" x14ac:dyDescent="0.25">
      <c r="A153" t="s">
        <v>1971</v>
      </c>
      <c r="B153" s="9">
        <v>-150</v>
      </c>
      <c r="C153">
        <v>150</v>
      </c>
      <c r="D153" s="9" t="s">
        <v>1972</v>
      </c>
      <c r="F153" t="s">
        <v>3802</v>
      </c>
      <c r="G153" s="9" t="s">
        <v>3849</v>
      </c>
      <c r="I153" s="5" t="s">
        <v>4949</v>
      </c>
      <c r="J153" s="5" t="s">
        <v>6593</v>
      </c>
      <c r="K153" s="5" t="s">
        <v>3868</v>
      </c>
      <c r="M153" s="6"/>
    </row>
    <row r="154" spans="1:13" x14ac:dyDescent="0.25">
      <c r="A154" t="s">
        <v>1973</v>
      </c>
      <c r="B154" s="9">
        <v>0</v>
      </c>
      <c r="C154">
        <v>150</v>
      </c>
      <c r="D154" s="9" t="s">
        <v>1974</v>
      </c>
      <c r="F154" t="s">
        <v>3804</v>
      </c>
      <c r="G154" s="9" t="s">
        <v>3849</v>
      </c>
      <c r="I154" s="5" t="s">
        <v>4950</v>
      </c>
      <c r="J154" s="5" t="s">
        <v>6594</v>
      </c>
      <c r="K154" s="5" t="s">
        <v>3868</v>
      </c>
      <c r="M154" s="6"/>
    </row>
    <row r="155" spans="1:13" x14ac:dyDescent="0.25">
      <c r="A155" t="s">
        <v>1975</v>
      </c>
      <c r="B155" s="9">
        <v>0</v>
      </c>
      <c r="C155">
        <v>150</v>
      </c>
      <c r="D155" s="9" t="s">
        <v>6675</v>
      </c>
      <c r="E155" t="s">
        <v>6635</v>
      </c>
      <c r="F155" t="s">
        <v>3805</v>
      </c>
      <c r="G155" s="9" t="s">
        <v>3849</v>
      </c>
      <c r="I155" s="5" t="s">
        <v>4967</v>
      </c>
      <c r="J155" s="5" t="s">
        <v>6595</v>
      </c>
      <c r="K155" s="5" t="s">
        <v>3868</v>
      </c>
      <c r="M155" s="6"/>
    </row>
    <row r="156" spans="1:13" x14ac:dyDescent="0.25">
      <c r="A156" t="s">
        <v>1977</v>
      </c>
      <c r="B156" s="9">
        <v>-150</v>
      </c>
      <c r="C156">
        <v>150</v>
      </c>
      <c r="D156" s="9" t="s">
        <v>3595</v>
      </c>
      <c r="F156" t="s">
        <v>3807</v>
      </c>
      <c r="G156" s="9" t="s">
        <v>3849</v>
      </c>
      <c r="I156" s="5" t="s">
        <v>4968</v>
      </c>
      <c r="J156" s="5" t="s">
        <v>6596</v>
      </c>
      <c r="K156" s="5" t="s">
        <v>3868</v>
      </c>
      <c r="M156" s="6">
        <v>59</v>
      </c>
    </row>
    <row r="157" spans="1:13" x14ac:dyDescent="0.25">
      <c r="A157" t="s">
        <v>1979</v>
      </c>
      <c r="B157" s="9">
        <v>0</v>
      </c>
      <c r="C157">
        <v>150</v>
      </c>
      <c r="D157" s="9" t="s">
        <v>1980</v>
      </c>
      <c r="F157" t="s">
        <v>3808</v>
      </c>
      <c r="G157" s="9" t="s">
        <v>3849</v>
      </c>
      <c r="I157" s="5" t="s">
        <v>4969</v>
      </c>
      <c r="J157" s="5" t="s">
        <v>6597</v>
      </c>
      <c r="K157" s="5" t="s">
        <v>3868</v>
      </c>
      <c r="M157" s="6">
        <v>59</v>
      </c>
    </row>
    <row r="158" spans="1:13" x14ac:dyDescent="0.25">
      <c r="A158" t="s">
        <v>1981</v>
      </c>
      <c r="B158" s="9">
        <v>-150</v>
      </c>
      <c r="C158">
        <v>150</v>
      </c>
      <c r="D158" s="9" t="s">
        <v>1982</v>
      </c>
      <c r="F158" t="s">
        <v>3810</v>
      </c>
      <c r="G158" s="9" t="s">
        <v>3849</v>
      </c>
      <c r="I158" s="5" t="s">
        <v>4989</v>
      </c>
      <c r="J158" s="5" t="s">
        <v>6598</v>
      </c>
      <c r="K158" s="5" t="s">
        <v>3868</v>
      </c>
      <c r="M158" s="6"/>
    </row>
    <row r="159" spans="1:13" x14ac:dyDescent="0.25">
      <c r="A159" t="s">
        <v>1983</v>
      </c>
      <c r="B159" s="9">
        <v>-150</v>
      </c>
      <c r="C159">
        <v>150</v>
      </c>
      <c r="D159" s="9" t="s">
        <v>6677</v>
      </c>
      <c r="E159" t="s">
        <v>6635</v>
      </c>
      <c r="F159" t="s">
        <v>3811</v>
      </c>
      <c r="G159" s="9" t="s">
        <v>3849</v>
      </c>
      <c r="I159" s="5" t="s">
        <v>5002</v>
      </c>
      <c r="J159" s="5" t="s">
        <v>6599</v>
      </c>
      <c r="K159" s="5" t="s">
        <v>3868</v>
      </c>
      <c r="M159" s="6"/>
    </row>
    <row r="160" spans="1:13" x14ac:dyDescent="0.25">
      <c r="A160" t="s">
        <v>1985</v>
      </c>
      <c r="B160" s="9">
        <v>-150</v>
      </c>
      <c r="C160">
        <v>150</v>
      </c>
      <c r="D160" s="9" t="s">
        <v>1986</v>
      </c>
      <c r="F160" t="s">
        <v>3812</v>
      </c>
      <c r="G160" s="9" t="s">
        <v>3849</v>
      </c>
      <c r="I160" s="5" t="s">
        <v>5007</v>
      </c>
      <c r="J160" s="5" t="s">
        <v>6600</v>
      </c>
      <c r="K160" s="5" t="s">
        <v>3868</v>
      </c>
      <c r="M160" s="6"/>
    </row>
    <row r="161" spans="1:13" x14ac:dyDescent="0.25">
      <c r="A161" t="s">
        <v>1987</v>
      </c>
      <c r="B161" s="9">
        <v>-150</v>
      </c>
      <c r="C161">
        <v>150</v>
      </c>
      <c r="D161" s="9" t="s">
        <v>1988</v>
      </c>
      <c r="E161" t="s">
        <v>3626</v>
      </c>
      <c r="F161" t="s">
        <v>3813</v>
      </c>
      <c r="G161" s="9" t="s">
        <v>3849</v>
      </c>
      <c r="I161" s="5" t="s">
        <v>5031</v>
      </c>
      <c r="J161" s="5" t="s">
        <v>6601</v>
      </c>
      <c r="K161" s="5" t="s">
        <v>3868</v>
      </c>
      <c r="M161" s="6"/>
    </row>
    <row r="162" spans="1:13" x14ac:dyDescent="0.25">
      <c r="A162" t="s">
        <v>1989</v>
      </c>
      <c r="B162" s="9">
        <v>-150</v>
      </c>
      <c r="C162">
        <v>150</v>
      </c>
      <c r="D162" s="9" t="s">
        <v>1990</v>
      </c>
      <c r="F162" t="s">
        <v>3814</v>
      </c>
      <c r="G162" s="9" t="s">
        <v>3849</v>
      </c>
      <c r="I162" s="5" t="s">
        <v>5043</v>
      </c>
      <c r="J162" s="5" t="s">
        <v>6602</v>
      </c>
      <c r="K162" s="5" t="s">
        <v>3868</v>
      </c>
      <c r="M162" s="6">
        <v>61</v>
      </c>
    </row>
    <row r="163" spans="1:13" x14ac:dyDescent="0.25">
      <c r="A163" t="s">
        <v>1991</v>
      </c>
      <c r="B163" s="9">
        <v>0</v>
      </c>
      <c r="C163">
        <v>150</v>
      </c>
      <c r="D163" s="9" t="s">
        <v>1992</v>
      </c>
      <c r="F163" t="s">
        <v>3816</v>
      </c>
      <c r="G163" s="9" t="s">
        <v>3849</v>
      </c>
      <c r="I163" s="5" t="s">
        <v>5044</v>
      </c>
      <c r="J163" s="5" t="s">
        <v>6603</v>
      </c>
      <c r="K163" s="5" t="s">
        <v>3868</v>
      </c>
      <c r="M163" s="6">
        <v>61</v>
      </c>
    </row>
    <row r="164" spans="1:13" x14ac:dyDescent="0.25">
      <c r="A164" t="s">
        <v>1993</v>
      </c>
      <c r="B164" s="9">
        <v>-150</v>
      </c>
      <c r="C164">
        <v>150</v>
      </c>
      <c r="D164" s="9" t="s">
        <v>6678</v>
      </c>
      <c r="E164" t="s">
        <v>6635</v>
      </c>
      <c r="F164" t="s">
        <v>3817</v>
      </c>
      <c r="G164" s="9" t="s">
        <v>3849</v>
      </c>
      <c r="I164" s="5" t="s">
        <v>5057</v>
      </c>
      <c r="J164" s="5" t="s">
        <v>6604</v>
      </c>
      <c r="K164" s="5" t="s">
        <v>3868</v>
      </c>
      <c r="M164" s="6"/>
    </row>
    <row r="165" spans="1:13" x14ac:dyDescent="0.25">
      <c r="A165" t="s">
        <v>1995</v>
      </c>
      <c r="B165" s="9">
        <v>0</v>
      </c>
      <c r="C165">
        <v>150</v>
      </c>
      <c r="D165" s="9" t="s">
        <v>6679</v>
      </c>
      <c r="E165" t="s">
        <v>6635</v>
      </c>
      <c r="F165" t="s">
        <v>3648</v>
      </c>
      <c r="G165" s="9" t="s">
        <v>3849</v>
      </c>
      <c r="I165" s="5" t="s">
        <v>5071</v>
      </c>
      <c r="J165" s="5" t="s">
        <v>6605</v>
      </c>
      <c r="K165" s="5" t="s">
        <v>3904</v>
      </c>
      <c r="M165" s="6">
        <v>110</v>
      </c>
    </row>
    <row r="166" spans="1:13" x14ac:dyDescent="0.25">
      <c r="A166" t="s">
        <v>1997</v>
      </c>
      <c r="B166" s="9">
        <v>0</v>
      </c>
      <c r="C166">
        <v>150</v>
      </c>
      <c r="D166" s="9" t="s">
        <v>1998</v>
      </c>
      <c r="F166" t="s">
        <v>3649</v>
      </c>
      <c r="G166" s="9" t="s">
        <v>3849</v>
      </c>
      <c r="I166" s="5" t="s">
        <v>5072</v>
      </c>
      <c r="J166" s="5" t="s">
        <v>6606</v>
      </c>
      <c r="K166" s="5" t="s">
        <v>3868</v>
      </c>
      <c r="M166" s="6">
        <v>53</v>
      </c>
    </row>
    <row r="167" spans="1:13" x14ac:dyDescent="0.25">
      <c r="A167" t="s">
        <v>2001</v>
      </c>
      <c r="B167" s="9">
        <v>0</v>
      </c>
      <c r="C167">
        <v>150</v>
      </c>
      <c r="D167" s="9" t="s">
        <v>3596</v>
      </c>
      <c r="F167" t="s">
        <v>3820</v>
      </c>
      <c r="G167" s="9" t="s">
        <v>3849</v>
      </c>
      <c r="I167" s="5" t="s">
        <v>5078</v>
      </c>
      <c r="J167" s="5" t="s">
        <v>6608</v>
      </c>
      <c r="K167" s="5" t="s">
        <v>3868</v>
      </c>
      <c r="M167" s="6" t="s">
        <v>6498</v>
      </c>
    </row>
    <row r="168" spans="1:13" x14ac:dyDescent="0.25">
      <c r="A168" t="s">
        <v>2003</v>
      </c>
      <c r="B168" s="9">
        <v>-150</v>
      </c>
      <c r="C168">
        <v>150</v>
      </c>
      <c r="D168" s="9" t="s">
        <v>2004</v>
      </c>
      <c r="E168" t="s">
        <v>3627</v>
      </c>
      <c r="F168" t="s">
        <v>3821</v>
      </c>
      <c r="G168" s="9" t="s">
        <v>3849</v>
      </c>
      <c r="I168" s="5" t="s">
        <v>5081</v>
      </c>
      <c r="J168" s="5" t="s">
        <v>6609</v>
      </c>
      <c r="K168" s="5" t="s">
        <v>3868</v>
      </c>
      <c r="M168" s="6"/>
    </row>
    <row r="169" spans="1:13" x14ac:dyDescent="0.25">
      <c r="A169" t="s">
        <v>2005</v>
      </c>
      <c r="B169" s="9">
        <v>0</v>
      </c>
      <c r="C169">
        <v>150</v>
      </c>
      <c r="D169" s="9" t="s">
        <v>6680</v>
      </c>
      <c r="E169" t="s">
        <v>6635</v>
      </c>
      <c r="F169" t="s">
        <v>3822</v>
      </c>
      <c r="G169" s="9" t="s">
        <v>3849</v>
      </c>
      <c r="I169" s="5" t="s">
        <v>5082</v>
      </c>
      <c r="J169" s="5" t="s">
        <v>6610</v>
      </c>
      <c r="K169" s="5" t="s">
        <v>3868</v>
      </c>
      <c r="M169" s="7">
        <v>102141</v>
      </c>
    </row>
    <row r="170" spans="1:13" s="1" customFormat="1" x14ac:dyDescent="0.25">
      <c r="A170" t="s">
        <v>2007</v>
      </c>
      <c r="B170" s="9">
        <v>-150</v>
      </c>
      <c r="C170">
        <v>150</v>
      </c>
      <c r="D170" s="9" t="s">
        <v>3597</v>
      </c>
      <c r="E170"/>
      <c r="F170" t="s">
        <v>3823</v>
      </c>
      <c r="G170" s="9" t="s">
        <v>3849</v>
      </c>
      <c r="H170"/>
      <c r="I170" s="5" t="s">
        <v>5091</v>
      </c>
      <c r="J170" s="5" t="s">
        <v>6611</v>
      </c>
      <c r="K170" s="5" t="s">
        <v>3904</v>
      </c>
      <c r="L170" s="5"/>
      <c r="M170" s="6"/>
    </row>
    <row r="171" spans="1:13" x14ac:dyDescent="0.25">
      <c r="A171" t="s">
        <v>2009</v>
      </c>
      <c r="B171" s="9">
        <v>-150</v>
      </c>
      <c r="C171">
        <v>150</v>
      </c>
      <c r="D171" s="9" t="s">
        <v>6681</v>
      </c>
      <c r="E171" t="s">
        <v>6635</v>
      </c>
      <c r="F171" t="s">
        <v>3824</v>
      </c>
      <c r="G171" s="9" t="s">
        <v>3849</v>
      </c>
      <c r="I171" s="5" t="s">
        <v>5094</v>
      </c>
      <c r="J171" s="5" t="s">
        <v>6612</v>
      </c>
      <c r="K171" s="5" t="s">
        <v>3868</v>
      </c>
      <c r="M171" s="6">
        <v>27</v>
      </c>
    </row>
    <row r="172" spans="1:13" x14ac:dyDescent="0.25">
      <c r="A172" s="46" t="s">
        <v>2011</v>
      </c>
      <c r="B172" s="47">
        <v>0</v>
      </c>
      <c r="C172" s="46">
        <v>150</v>
      </c>
      <c r="D172" s="47" t="s">
        <v>3613</v>
      </c>
      <c r="E172" s="46" t="s">
        <v>2012</v>
      </c>
      <c r="F172" s="46" t="s">
        <v>6847</v>
      </c>
      <c r="G172" s="47" t="s">
        <v>3849</v>
      </c>
      <c r="H172" t="s">
        <v>6846</v>
      </c>
      <c r="I172" s="5" t="s">
        <v>5110</v>
      </c>
      <c r="J172" s="5" t="s">
        <v>6613</v>
      </c>
      <c r="K172" s="5" t="s">
        <v>4097</v>
      </c>
      <c r="L172" s="5" t="s">
        <v>6614</v>
      </c>
      <c r="M172" s="6"/>
    </row>
    <row r="173" spans="1:13" x14ac:dyDescent="0.25">
      <c r="A173" t="s">
        <v>2013</v>
      </c>
      <c r="B173" s="9">
        <v>-150</v>
      </c>
      <c r="C173">
        <v>150</v>
      </c>
      <c r="D173" s="9" t="s">
        <v>6682</v>
      </c>
      <c r="E173" t="s">
        <v>6635</v>
      </c>
      <c r="F173" t="s">
        <v>3825</v>
      </c>
      <c r="G173" s="9" t="s">
        <v>3849</v>
      </c>
      <c r="I173" s="5" t="s">
        <v>5113</v>
      </c>
      <c r="J173" s="5" t="s">
        <v>6615</v>
      </c>
      <c r="K173" s="5" t="s">
        <v>3868</v>
      </c>
      <c r="M173" s="7">
        <v>49141</v>
      </c>
    </row>
    <row r="174" spans="1:13" x14ac:dyDescent="0.25">
      <c r="A174" t="s">
        <v>2015</v>
      </c>
      <c r="B174" s="9">
        <v>0</v>
      </c>
      <c r="C174">
        <v>150</v>
      </c>
      <c r="D174" s="9" t="s">
        <v>2016</v>
      </c>
      <c r="F174" t="s">
        <v>3651</v>
      </c>
      <c r="G174" s="9" t="s">
        <v>3849</v>
      </c>
      <c r="I174" s="5" t="s">
        <v>5114</v>
      </c>
      <c r="J174" s="5" t="s">
        <v>5274</v>
      </c>
      <c r="K174" s="5" t="s">
        <v>3868</v>
      </c>
      <c r="M174" s="6"/>
    </row>
    <row r="175" spans="1:13" x14ac:dyDescent="0.25">
      <c r="A175" t="s">
        <v>6683</v>
      </c>
      <c r="B175" s="9">
        <v>-150</v>
      </c>
      <c r="C175">
        <v>150</v>
      </c>
      <c r="D175" s="9" t="s">
        <v>2016</v>
      </c>
      <c r="F175" t="s">
        <v>6684</v>
      </c>
      <c r="G175" s="9" t="s">
        <v>3849</v>
      </c>
      <c r="K175" s="5" t="s">
        <v>3868</v>
      </c>
      <c r="M175" s="6">
        <v>75</v>
      </c>
    </row>
    <row r="176" spans="1:13" x14ac:dyDescent="0.25">
      <c r="A176" t="s">
        <v>2017</v>
      </c>
      <c r="B176" s="9">
        <v>0</v>
      </c>
      <c r="C176">
        <v>150</v>
      </c>
      <c r="D176" s="9" t="s">
        <v>6685</v>
      </c>
      <c r="E176" t="s">
        <v>6635</v>
      </c>
      <c r="F176" t="s">
        <v>3826</v>
      </c>
      <c r="G176" s="9" t="s">
        <v>3849</v>
      </c>
      <c r="I176" s="5" t="s">
        <v>5117</v>
      </c>
      <c r="J176" s="5" t="s">
        <v>6616</v>
      </c>
      <c r="K176" s="5" t="s">
        <v>3868</v>
      </c>
      <c r="M176" s="6">
        <v>93</v>
      </c>
    </row>
    <row r="177" spans="1:13" s="1" customFormat="1" x14ac:dyDescent="0.25">
      <c r="A177" t="s">
        <v>2019</v>
      </c>
      <c r="B177" s="9">
        <v>-150</v>
      </c>
      <c r="C177">
        <v>150</v>
      </c>
      <c r="D177" s="9" t="s">
        <v>2020</v>
      </c>
      <c r="E177"/>
      <c r="F177" t="s">
        <v>3826</v>
      </c>
      <c r="G177" s="9" t="s">
        <v>3849</v>
      </c>
      <c r="H177"/>
      <c r="I177" s="5" t="s">
        <v>5126</v>
      </c>
      <c r="J177" s="5" t="s">
        <v>6617</v>
      </c>
      <c r="K177" s="5" t="s">
        <v>3868</v>
      </c>
      <c r="L177" s="5"/>
      <c r="M177" s="6">
        <v>61</v>
      </c>
    </row>
    <row r="178" spans="1:13" s="1" customFormat="1" x14ac:dyDescent="0.25">
      <c r="A178" t="s">
        <v>2021</v>
      </c>
      <c r="B178" s="9">
        <v>0</v>
      </c>
      <c r="C178">
        <v>150</v>
      </c>
      <c r="D178" s="9" t="s">
        <v>2022</v>
      </c>
      <c r="E178"/>
      <c r="F178" t="s">
        <v>3828</v>
      </c>
      <c r="G178" s="9" t="s">
        <v>3849</v>
      </c>
      <c r="H178"/>
      <c r="I178" s="5" t="s">
        <v>5127</v>
      </c>
      <c r="J178" s="5" t="s">
        <v>6618</v>
      </c>
      <c r="K178" s="5" t="s">
        <v>3868</v>
      </c>
      <c r="L178" s="5"/>
      <c r="M178" s="6">
        <v>79</v>
      </c>
    </row>
    <row r="179" spans="1:13" x14ac:dyDescent="0.25">
      <c r="A179" s="44" t="s">
        <v>2023</v>
      </c>
      <c r="B179" s="45">
        <v>0</v>
      </c>
      <c r="C179" s="44">
        <v>150</v>
      </c>
      <c r="D179" s="45" t="s">
        <v>3612</v>
      </c>
      <c r="E179" s="44" t="s">
        <v>3612</v>
      </c>
      <c r="F179" s="44" t="s">
        <v>3843</v>
      </c>
      <c r="G179" s="45" t="s">
        <v>3849</v>
      </c>
      <c r="I179" s="5" t="s">
        <v>5132</v>
      </c>
      <c r="J179" s="5" t="s">
        <v>6619</v>
      </c>
      <c r="K179" s="5" t="s">
        <v>4097</v>
      </c>
      <c r="M179" s="7">
        <v>39110</v>
      </c>
    </row>
    <row r="180" spans="1:13" x14ac:dyDescent="0.25">
      <c r="A180" s="44" t="s">
        <v>2025</v>
      </c>
      <c r="B180" s="45">
        <v>0</v>
      </c>
      <c r="C180" s="44">
        <v>150</v>
      </c>
      <c r="D180" s="45" t="s">
        <v>3609</v>
      </c>
      <c r="E180" s="44" t="s">
        <v>2026</v>
      </c>
      <c r="F180" s="44" t="s">
        <v>3843</v>
      </c>
      <c r="G180" s="45" t="s">
        <v>3849</v>
      </c>
      <c r="I180" s="5" t="s">
        <v>5133</v>
      </c>
      <c r="J180" s="5" t="s">
        <v>6620</v>
      </c>
      <c r="K180" s="5" t="s">
        <v>4097</v>
      </c>
      <c r="M180" s="7">
        <v>39110</v>
      </c>
    </row>
    <row r="181" spans="1:13" x14ac:dyDescent="0.25">
      <c r="A181" t="s">
        <v>2027</v>
      </c>
      <c r="B181" s="9">
        <v>0</v>
      </c>
      <c r="C181">
        <v>150</v>
      </c>
      <c r="D181" s="9" t="s">
        <v>2028</v>
      </c>
      <c r="E181" t="s">
        <v>3628</v>
      </c>
      <c r="F181" t="s">
        <v>3829</v>
      </c>
      <c r="G181" s="9" t="s">
        <v>3849</v>
      </c>
      <c r="I181" s="5" t="s">
        <v>5160</v>
      </c>
      <c r="J181" s="5" t="s">
        <v>6621</v>
      </c>
      <c r="K181" s="5" t="s">
        <v>3868</v>
      </c>
      <c r="M181" s="6"/>
    </row>
    <row r="182" spans="1:13" x14ac:dyDescent="0.25">
      <c r="A182" t="s">
        <v>2029</v>
      </c>
      <c r="B182" s="9">
        <v>-150</v>
      </c>
      <c r="C182">
        <v>150</v>
      </c>
      <c r="D182" s="9" t="s">
        <v>2030</v>
      </c>
      <c r="F182" t="s">
        <v>3830</v>
      </c>
      <c r="G182" s="9" t="s">
        <v>3849</v>
      </c>
      <c r="I182" s="5" t="s">
        <v>5167</v>
      </c>
      <c r="J182" s="5" t="s">
        <v>6622</v>
      </c>
      <c r="K182" s="5" t="s">
        <v>3868</v>
      </c>
      <c r="M182" s="6">
        <v>131</v>
      </c>
    </row>
    <row r="183" spans="1:13" x14ac:dyDescent="0.25">
      <c r="A183" t="s">
        <v>2031</v>
      </c>
      <c r="B183" s="9">
        <v>-150</v>
      </c>
      <c r="C183">
        <v>150</v>
      </c>
      <c r="D183" s="9" t="s">
        <v>6686</v>
      </c>
      <c r="E183" t="s">
        <v>6635</v>
      </c>
      <c r="F183" t="s">
        <v>3831</v>
      </c>
      <c r="G183" s="9" t="s">
        <v>3849</v>
      </c>
      <c r="I183" s="5" t="s">
        <v>5170</v>
      </c>
      <c r="J183" s="5" t="s">
        <v>6623</v>
      </c>
      <c r="K183" s="5" t="s">
        <v>3868</v>
      </c>
      <c r="M183" s="7">
        <v>102141</v>
      </c>
    </row>
    <row r="184" spans="1:13" x14ac:dyDescent="0.25">
      <c r="A184" t="s">
        <v>2033</v>
      </c>
      <c r="B184" s="9">
        <v>-150</v>
      </c>
      <c r="C184">
        <v>150</v>
      </c>
      <c r="D184" s="9" t="s">
        <v>2034</v>
      </c>
      <c r="F184" t="s">
        <v>3833</v>
      </c>
      <c r="G184" s="9" t="s">
        <v>3849</v>
      </c>
      <c r="I184" s="5" t="s">
        <v>5171</v>
      </c>
      <c r="J184" s="5" t="s">
        <v>6624</v>
      </c>
      <c r="K184" s="5" t="s">
        <v>3868</v>
      </c>
      <c r="M184" s="6">
        <v>4</v>
      </c>
    </row>
    <row r="185" spans="1:13" x14ac:dyDescent="0.25">
      <c r="A185" t="s">
        <v>2035</v>
      </c>
      <c r="B185" s="9">
        <v>-150</v>
      </c>
      <c r="C185">
        <v>150</v>
      </c>
      <c r="D185" s="9" t="s">
        <v>2036</v>
      </c>
      <c r="F185" t="s">
        <v>3834</v>
      </c>
      <c r="G185" s="9" t="s">
        <v>3849</v>
      </c>
      <c r="I185" s="5" t="s">
        <v>5172</v>
      </c>
      <c r="J185" s="5" t="s">
        <v>6625</v>
      </c>
      <c r="K185" s="5" t="s">
        <v>3868</v>
      </c>
      <c r="M185" s="6" t="s">
        <v>6626</v>
      </c>
    </row>
    <row r="186" spans="1:13" x14ac:dyDescent="0.25">
      <c r="A186" t="s">
        <v>2037</v>
      </c>
      <c r="B186" s="9">
        <v>-150</v>
      </c>
      <c r="C186">
        <v>150</v>
      </c>
      <c r="D186" s="9" t="s">
        <v>2038</v>
      </c>
      <c r="F186" t="s">
        <v>3652</v>
      </c>
      <c r="G186" s="9" t="s">
        <v>3849</v>
      </c>
      <c r="I186" s="5" t="s">
        <v>5220</v>
      </c>
      <c r="J186" s="5" t="s">
        <v>5275</v>
      </c>
      <c r="K186" s="5" t="s">
        <v>3868</v>
      </c>
      <c r="M186" s="6"/>
    </row>
    <row r="187" spans="1:13" x14ac:dyDescent="0.25">
      <c r="A187" t="s">
        <v>2039</v>
      </c>
      <c r="B187" s="9">
        <v>-150</v>
      </c>
      <c r="C187">
        <v>150</v>
      </c>
      <c r="D187" s="9" t="s">
        <v>2040</v>
      </c>
      <c r="F187" t="s">
        <v>3835</v>
      </c>
      <c r="G187" s="9" t="s">
        <v>3849</v>
      </c>
      <c r="I187" s="5" t="s">
        <v>5223</v>
      </c>
      <c r="J187" s="5" t="s">
        <v>6627</v>
      </c>
      <c r="K187" s="5" t="s">
        <v>3868</v>
      </c>
      <c r="M187" s="6">
        <v>46</v>
      </c>
    </row>
    <row r="188" spans="1:13" x14ac:dyDescent="0.25">
      <c r="A188" t="s">
        <v>2041</v>
      </c>
      <c r="B188" s="9">
        <v>0</v>
      </c>
      <c r="C188">
        <v>150</v>
      </c>
      <c r="D188" s="9" t="s">
        <v>2042</v>
      </c>
      <c r="F188" t="s">
        <v>3654</v>
      </c>
      <c r="G188" s="9" t="s">
        <v>3849</v>
      </c>
      <c r="I188" s="5" t="s">
        <v>5227</v>
      </c>
      <c r="J188" s="5" t="s">
        <v>5276</v>
      </c>
      <c r="K188" s="5" t="s">
        <v>3868</v>
      </c>
      <c r="M188" s="6"/>
    </row>
    <row r="189" spans="1:13" x14ac:dyDescent="0.25">
      <c r="A189" t="s">
        <v>6688</v>
      </c>
      <c r="B189" s="9">
        <v>-150</v>
      </c>
      <c r="C189">
        <v>150</v>
      </c>
      <c r="D189" s="9" t="s">
        <v>2042</v>
      </c>
      <c r="F189" t="s">
        <v>6687</v>
      </c>
      <c r="G189" s="9" t="s">
        <v>3849</v>
      </c>
      <c r="K189" s="5" t="s">
        <v>3868</v>
      </c>
      <c r="M189" s="6">
        <v>75</v>
      </c>
    </row>
    <row r="190" spans="1:13" x14ac:dyDescent="0.25">
      <c r="A190" t="s">
        <v>2043</v>
      </c>
      <c r="B190" s="9">
        <v>0</v>
      </c>
      <c r="C190">
        <v>150</v>
      </c>
      <c r="D190" s="9" t="s">
        <v>6689</v>
      </c>
      <c r="E190" t="s">
        <v>6635</v>
      </c>
      <c r="F190" t="s">
        <v>3836</v>
      </c>
      <c r="G190" s="9" t="s">
        <v>3849</v>
      </c>
      <c r="I190" s="5" t="s">
        <v>5231</v>
      </c>
      <c r="J190" s="5" t="s">
        <v>6628</v>
      </c>
      <c r="K190" s="5" t="s">
        <v>3868</v>
      </c>
      <c r="M190" s="6"/>
    </row>
    <row r="191" spans="1:13" x14ac:dyDescent="0.25">
      <c r="A191" t="s">
        <v>2045</v>
      </c>
      <c r="B191" s="9">
        <v>-150</v>
      </c>
      <c r="C191">
        <v>150</v>
      </c>
      <c r="D191" s="9" t="s">
        <v>2046</v>
      </c>
      <c r="F191" t="s">
        <v>3836</v>
      </c>
      <c r="G191" s="9" t="s">
        <v>3849</v>
      </c>
      <c r="I191" s="5" t="s">
        <v>5232</v>
      </c>
      <c r="J191" s="5" t="s">
        <v>6629</v>
      </c>
      <c r="K191" s="5" t="s">
        <v>3868</v>
      </c>
      <c r="M191" s="6"/>
    </row>
    <row r="192" spans="1:13" x14ac:dyDescent="0.25">
      <c r="A192" t="s">
        <v>2047</v>
      </c>
      <c r="B192" s="9">
        <v>-150</v>
      </c>
      <c r="C192">
        <v>150</v>
      </c>
      <c r="D192" s="9" t="s">
        <v>2048</v>
      </c>
      <c r="F192" t="s">
        <v>3655</v>
      </c>
      <c r="G192" s="9" t="s">
        <v>3849</v>
      </c>
      <c r="I192" s="5" t="s">
        <v>5237</v>
      </c>
      <c r="J192" s="5" t="s">
        <v>6630</v>
      </c>
      <c r="K192" s="5" t="s">
        <v>3868</v>
      </c>
      <c r="M192" s="6"/>
    </row>
    <row r="193" spans="1:13" x14ac:dyDescent="0.25">
      <c r="A193" t="s">
        <v>2049</v>
      </c>
      <c r="B193" s="9">
        <v>-150</v>
      </c>
      <c r="C193">
        <v>150</v>
      </c>
      <c r="D193" s="9" t="s">
        <v>2050</v>
      </c>
      <c r="F193" t="s">
        <v>3837</v>
      </c>
      <c r="G193" s="9" t="s">
        <v>3849</v>
      </c>
      <c r="I193" s="5" t="s">
        <v>5242</v>
      </c>
      <c r="J193" s="5" t="s">
        <v>6631</v>
      </c>
      <c r="K193" s="5" t="s">
        <v>3904</v>
      </c>
      <c r="M193" s="6"/>
    </row>
    <row r="194" spans="1:13" x14ac:dyDescent="0.25">
      <c r="A194" t="s">
        <v>2051</v>
      </c>
      <c r="B194" s="9">
        <v>0</v>
      </c>
      <c r="C194">
        <v>150</v>
      </c>
      <c r="D194" s="9" t="s">
        <v>6848</v>
      </c>
      <c r="E194" t="s">
        <v>6635</v>
      </c>
      <c r="F194" t="s">
        <v>3838</v>
      </c>
      <c r="G194" s="9" t="s">
        <v>3849</v>
      </c>
      <c r="I194" s="5" t="s">
        <v>5243</v>
      </c>
      <c r="J194" s="5" t="s">
        <v>6632</v>
      </c>
      <c r="K194" s="5" t="s">
        <v>3868</v>
      </c>
      <c r="M194" s="6">
        <v>75</v>
      </c>
    </row>
    <row r="195" spans="1:13" x14ac:dyDescent="0.25">
      <c r="A195" t="s">
        <v>2053</v>
      </c>
      <c r="B195" s="9">
        <v>0</v>
      </c>
      <c r="C195">
        <v>150</v>
      </c>
      <c r="D195" s="9" t="s">
        <v>2054</v>
      </c>
      <c r="F195" t="s">
        <v>3838</v>
      </c>
      <c r="G195" s="9" t="s">
        <v>3849</v>
      </c>
      <c r="I195" s="5" t="s">
        <v>5248</v>
      </c>
      <c r="J195" s="5" t="s">
        <v>6633</v>
      </c>
      <c r="K195" s="5" t="s">
        <v>3868</v>
      </c>
      <c r="M195" s="6"/>
    </row>
    <row r="196" spans="1:13" x14ac:dyDescent="0.25">
      <c r="B196"/>
      <c r="D196"/>
      <c r="G196"/>
      <c r="I196"/>
      <c r="J196"/>
      <c r="M196"/>
    </row>
    <row r="197" spans="1:13" x14ac:dyDescent="0.25">
      <c r="B197"/>
      <c r="D197"/>
      <c r="G197"/>
      <c r="I197"/>
      <c r="J197"/>
      <c r="M197"/>
    </row>
    <row r="198" spans="1:13" x14ac:dyDescent="0.25">
      <c r="B198"/>
      <c r="D198"/>
      <c r="G198"/>
      <c r="I198"/>
      <c r="J198"/>
      <c r="M198"/>
    </row>
    <row r="199" spans="1:13" x14ac:dyDescent="0.25">
      <c r="B199"/>
      <c r="D199"/>
      <c r="G199"/>
      <c r="I199"/>
      <c r="J199"/>
      <c r="M199"/>
    </row>
    <row r="200" spans="1:13" x14ac:dyDescent="0.25">
      <c r="B200"/>
      <c r="D200"/>
      <c r="G200"/>
      <c r="I200"/>
      <c r="J200"/>
      <c r="M200"/>
    </row>
    <row r="201" spans="1:13" x14ac:dyDescent="0.25">
      <c r="B201"/>
      <c r="D201"/>
      <c r="G201"/>
      <c r="I201"/>
      <c r="J201"/>
      <c r="M201"/>
    </row>
    <row r="202" spans="1:13" x14ac:dyDescent="0.25">
      <c r="B202"/>
      <c r="D202"/>
      <c r="G202"/>
      <c r="I202"/>
      <c r="J202"/>
      <c r="M202"/>
    </row>
    <row r="203" spans="1:13" x14ac:dyDescent="0.25">
      <c r="B203"/>
      <c r="D203"/>
      <c r="G203"/>
      <c r="I203"/>
      <c r="J203"/>
      <c r="M203"/>
    </row>
    <row r="204" spans="1:13" x14ac:dyDescent="0.25">
      <c r="B204"/>
      <c r="D204"/>
      <c r="G204"/>
      <c r="I204"/>
      <c r="J204"/>
      <c r="M204"/>
    </row>
    <row r="205" spans="1:13" x14ac:dyDescent="0.25">
      <c r="B205"/>
      <c r="D205"/>
      <c r="G205"/>
      <c r="I205"/>
      <c r="J205"/>
      <c r="M205"/>
    </row>
    <row r="206" spans="1:13" x14ac:dyDescent="0.25">
      <c r="B206"/>
      <c r="D206"/>
      <c r="G206"/>
      <c r="I206"/>
      <c r="J206"/>
      <c r="M206"/>
    </row>
    <row r="207" spans="1:13" x14ac:dyDescent="0.25">
      <c r="B207"/>
      <c r="D207"/>
      <c r="G207"/>
      <c r="I207"/>
      <c r="J207"/>
      <c r="M207"/>
    </row>
    <row r="208" spans="1:13" x14ac:dyDescent="0.25">
      <c r="B208"/>
      <c r="D208"/>
      <c r="G208"/>
      <c r="I208"/>
      <c r="J208"/>
      <c r="M208"/>
    </row>
    <row r="209" spans="11:12" customFormat="1" x14ac:dyDescent="0.25">
      <c r="K209" s="5"/>
      <c r="L209" s="5"/>
    </row>
    <row r="210" spans="11:12" customFormat="1" x14ac:dyDescent="0.25">
      <c r="K210" s="5"/>
      <c r="L210" s="5"/>
    </row>
    <row r="211" spans="11:12" customFormat="1" x14ac:dyDescent="0.25">
      <c r="K211" s="5"/>
      <c r="L211" s="5"/>
    </row>
    <row r="212" spans="11:12" customFormat="1" x14ac:dyDescent="0.25">
      <c r="K212" s="5"/>
      <c r="L212" s="5"/>
    </row>
    <row r="213" spans="11:12" customFormat="1" x14ac:dyDescent="0.25">
      <c r="K213" s="5"/>
      <c r="L213" s="5"/>
    </row>
    <row r="214" spans="11:12" customFormat="1" x14ac:dyDescent="0.25">
      <c r="K214" s="5"/>
      <c r="L214" s="5"/>
    </row>
    <row r="215" spans="11:12" customFormat="1" x14ac:dyDescent="0.25">
      <c r="K215" s="5"/>
      <c r="L215" s="5"/>
    </row>
    <row r="216" spans="11:12" customFormat="1" x14ac:dyDescent="0.25">
      <c r="K216" s="5"/>
      <c r="L216" s="5"/>
    </row>
    <row r="217" spans="11:12" customFormat="1" x14ac:dyDescent="0.25">
      <c r="K217" s="5"/>
      <c r="L217" s="5"/>
    </row>
    <row r="218" spans="11:12" customFormat="1" x14ac:dyDescent="0.25">
      <c r="K218" s="5"/>
      <c r="L218" s="5"/>
    </row>
    <row r="219" spans="11:12" customFormat="1" x14ac:dyDescent="0.25">
      <c r="K219" s="5"/>
      <c r="L219" s="5"/>
    </row>
    <row r="220" spans="11:12" customFormat="1" x14ac:dyDescent="0.25">
      <c r="K220" s="5"/>
      <c r="L220" s="5"/>
    </row>
    <row r="221" spans="11:12" customFormat="1" x14ac:dyDescent="0.25">
      <c r="K221" s="5"/>
      <c r="L221" s="5"/>
    </row>
    <row r="222" spans="11:12" customFormat="1" x14ac:dyDescent="0.25">
      <c r="K222" s="5"/>
      <c r="L222" s="5"/>
    </row>
    <row r="223" spans="11:12" customFormat="1" x14ac:dyDescent="0.25">
      <c r="K223" s="5"/>
      <c r="L223" s="5"/>
    </row>
    <row r="224" spans="11:12" customFormat="1" x14ac:dyDescent="0.25">
      <c r="K224" s="5"/>
      <c r="L224" s="5"/>
    </row>
    <row r="225" spans="11:12" customFormat="1" x14ac:dyDescent="0.25">
      <c r="K225" s="5"/>
      <c r="L225" s="5"/>
    </row>
    <row r="226" spans="11:12" customFormat="1" x14ac:dyDescent="0.25">
      <c r="K226" s="5"/>
      <c r="L226" s="5"/>
    </row>
    <row r="227" spans="11:12" customFormat="1" x14ac:dyDescent="0.25">
      <c r="K227" s="5"/>
      <c r="L227" s="5"/>
    </row>
    <row r="228" spans="11:12" customFormat="1" x14ac:dyDescent="0.25">
      <c r="K228" s="5"/>
      <c r="L228" s="5"/>
    </row>
    <row r="229" spans="11:12" customFormat="1" x14ac:dyDescent="0.25">
      <c r="K229" s="5"/>
      <c r="L229" s="5"/>
    </row>
    <row r="230" spans="11:12" customFormat="1" x14ac:dyDescent="0.25">
      <c r="K230" s="5"/>
      <c r="L230" s="5"/>
    </row>
    <row r="231" spans="11:12" customFormat="1" x14ac:dyDescent="0.25">
      <c r="K231" s="5"/>
      <c r="L231" s="5"/>
    </row>
    <row r="232" spans="11:12" customFormat="1" x14ac:dyDescent="0.25">
      <c r="K232" s="5"/>
      <c r="L232" s="5"/>
    </row>
    <row r="233" spans="11:12" customFormat="1" x14ac:dyDescent="0.25">
      <c r="K233" s="5"/>
      <c r="L233" s="5"/>
    </row>
    <row r="234" spans="11:12" customFormat="1" x14ac:dyDescent="0.25">
      <c r="K234" s="5"/>
      <c r="L234" s="5"/>
    </row>
    <row r="235" spans="11:12" customFormat="1" x14ac:dyDescent="0.25">
      <c r="K235" s="5"/>
      <c r="L235" s="5"/>
    </row>
    <row r="236" spans="11:12" customFormat="1" x14ac:dyDescent="0.25">
      <c r="K236" s="5"/>
      <c r="L236" s="5"/>
    </row>
    <row r="237" spans="11:12" customFormat="1" x14ac:dyDescent="0.25">
      <c r="K237" s="5"/>
      <c r="L237" s="5"/>
    </row>
    <row r="238" spans="11:12" customFormat="1" x14ac:dyDescent="0.25">
      <c r="K238" s="5"/>
      <c r="L238" s="5"/>
    </row>
    <row r="239" spans="11:12" customFormat="1" x14ac:dyDescent="0.25">
      <c r="K239" s="5"/>
      <c r="L239" s="5"/>
    </row>
    <row r="240" spans="11:12" customFormat="1" x14ac:dyDescent="0.25">
      <c r="K240" s="5"/>
      <c r="L240" s="5"/>
    </row>
    <row r="241" spans="11:12" customFormat="1" x14ac:dyDescent="0.25">
      <c r="K241" s="5"/>
      <c r="L241" s="5"/>
    </row>
    <row r="242" spans="11:12" customFormat="1" x14ac:dyDescent="0.25">
      <c r="K242" s="5"/>
      <c r="L242" s="5"/>
    </row>
    <row r="243" spans="11:12" customFormat="1" x14ac:dyDescent="0.25">
      <c r="K243" s="5"/>
      <c r="L243" s="5"/>
    </row>
    <row r="244" spans="11:12" customFormat="1" x14ac:dyDescent="0.25">
      <c r="K244" s="5"/>
      <c r="L244" s="5"/>
    </row>
    <row r="245" spans="11:12" customFormat="1" x14ac:dyDescent="0.25">
      <c r="K245" s="5"/>
      <c r="L245" s="5"/>
    </row>
    <row r="246" spans="11:12" customFormat="1" x14ac:dyDescent="0.25">
      <c r="K246" s="5"/>
      <c r="L246" s="5"/>
    </row>
    <row r="247" spans="11:12" customFormat="1" x14ac:dyDescent="0.25">
      <c r="K247" s="5"/>
      <c r="L247" s="5"/>
    </row>
    <row r="248" spans="11:12" customFormat="1" x14ac:dyDescent="0.25">
      <c r="K248" s="5"/>
      <c r="L248" s="5"/>
    </row>
    <row r="249" spans="11:12" customFormat="1" x14ac:dyDescent="0.25">
      <c r="K249" s="5"/>
      <c r="L249" s="5"/>
    </row>
    <row r="250" spans="11:12" customFormat="1" x14ac:dyDescent="0.25">
      <c r="K250" s="5"/>
      <c r="L250" s="5"/>
    </row>
    <row r="251" spans="11:12" customFormat="1" x14ac:dyDescent="0.25">
      <c r="K251" s="5"/>
      <c r="L251" s="5"/>
    </row>
    <row r="252" spans="11:12" customFormat="1" x14ac:dyDescent="0.25">
      <c r="K252" s="5"/>
      <c r="L252" s="5"/>
    </row>
    <row r="253" spans="11:12" customFormat="1" x14ac:dyDescent="0.25">
      <c r="K253" s="5"/>
      <c r="L253" s="5"/>
    </row>
    <row r="254" spans="11:12" customFormat="1" x14ac:dyDescent="0.25">
      <c r="K254" s="5"/>
      <c r="L254" s="5"/>
    </row>
    <row r="255" spans="11:12" customFormat="1" x14ac:dyDescent="0.25">
      <c r="K255" s="5"/>
      <c r="L255" s="5"/>
    </row>
    <row r="256" spans="11:12" customFormat="1" x14ac:dyDescent="0.25">
      <c r="K256" s="5"/>
      <c r="L256" s="5"/>
    </row>
    <row r="257" spans="11:12" customFormat="1" x14ac:dyDescent="0.25">
      <c r="K257" s="5"/>
      <c r="L257" s="5"/>
    </row>
    <row r="258" spans="11:12" customFormat="1" x14ac:dyDescent="0.25">
      <c r="K258" s="5"/>
      <c r="L258" s="5"/>
    </row>
    <row r="259" spans="11:12" customFormat="1" x14ac:dyDescent="0.25">
      <c r="K259" s="5"/>
      <c r="L259" s="5"/>
    </row>
    <row r="260" spans="11:12" customFormat="1" x14ac:dyDescent="0.25">
      <c r="K260" s="5"/>
      <c r="L260" s="5"/>
    </row>
    <row r="261" spans="11:12" customFormat="1" x14ac:dyDescent="0.25">
      <c r="K261" s="5"/>
      <c r="L261" s="5"/>
    </row>
    <row r="262" spans="11:12" customFormat="1" x14ac:dyDescent="0.25">
      <c r="K262" s="5"/>
      <c r="L262" s="5"/>
    </row>
    <row r="263" spans="11:12" customFormat="1" x14ac:dyDescent="0.25">
      <c r="K263" s="5"/>
      <c r="L263" s="5"/>
    </row>
    <row r="264" spans="11:12" customFormat="1" x14ac:dyDescent="0.25">
      <c r="K264" s="5"/>
      <c r="L264" s="5"/>
    </row>
    <row r="265" spans="11:12" customFormat="1" x14ac:dyDescent="0.25">
      <c r="K265" s="5"/>
      <c r="L265" s="5"/>
    </row>
    <row r="266" spans="11:12" customFormat="1" x14ac:dyDescent="0.25">
      <c r="K266" s="5"/>
      <c r="L266" s="5"/>
    </row>
    <row r="267" spans="11:12" customFormat="1" x14ac:dyDescent="0.25">
      <c r="K267" s="5"/>
      <c r="L267" s="5"/>
    </row>
    <row r="268" spans="11:12" customFormat="1" x14ac:dyDescent="0.25">
      <c r="K268" s="5"/>
      <c r="L268" s="5"/>
    </row>
    <row r="269" spans="11:12" customFormat="1" x14ac:dyDescent="0.25">
      <c r="K269" s="5"/>
      <c r="L269" s="5"/>
    </row>
    <row r="270" spans="11:12" customFormat="1" x14ac:dyDescent="0.25">
      <c r="K270" s="5"/>
      <c r="L270" s="5"/>
    </row>
    <row r="271" spans="11:12" customFormat="1" x14ac:dyDescent="0.25">
      <c r="K271" s="5"/>
      <c r="L271" s="5"/>
    </row>
    <row r="272" spans="11:12" customFormat="1" x14ac:dyDescent="0.25">
      <c r="K272" s="5"/>
      <c r="L272" s="5"/>
    </row>
    <row r="273" spans="11:12" customFormat="1" x14ac:dyDescent="0.25">
      <c r="K273" s="5"/>
      <c r="L273" s="5"/>
    </row>
    <row r="274" spans="11:12" customFormat="1" x14ac:dyDescent="0.25">
      <c r="K274" s="5"/>
      <c r="L274" s="5"/>
    </row>
    <row r="275" spans="11:12" customFormat="1" x14ac:dyDescent="0.25">
      <c r="K275" s="5"/>
      <c r="L275" s="5"/>
    </row>
    <row r="276" spans="11:12" customFormat="1" x14ac:dyDescent="0.25">
      <c r="K276" s="5"/>
      <c r="L276" s="5"/>
    </row>
    <row r="277" spans="11:12" customFormat="1" x14ac:dyDescent="0.25">
      <c r="K277" s="5"/>
      <c r="L277" s="5"/>
    </row>
    <row r="278" spans="11:12" customFormat="1" x14ac:dyDescent="0.25">
      <c r="K278" s="5"/>
      <c r="L278" s="5"/>
    </row>
    <row r="279" spans="11:12" customFormat="1" x14ac:dyDescent="0.25">
      <c r="K279" s="5"/>
      <c r="L279" s="5"/>
    </row>
    <row r="280" spans="11:12" customFormat="1" x14ac:dyDescent="0.25">
      <c r="K280" s="5"/>
      <c r="L280" s="5"/>
    </row>
    <row r="281" spans="11:12" customFormat="1" x14ac:dyDescent="0.25">
      <c r="K281" s="5"/>
      <c r="L281" s="5"/>
    </row>
    <row r="282" spans="11:12" customFormat="1" x14ac:dyDescent="0.25">
      <c r="K282" s="5"/>
      <c r="L282" s="5"/>
    </row>
    <row r="283" spans="11:12" customFormat="1" x14ac:dyDescent="0.25">
      <c r="K283" s="5"/>
      <c r="L283" s="5"/>
    </row>
    <row r="284" spans="11:12" customFormat="1" x14ac:dyDescent="0.25">
      <c r="K284" s="5"/>
      <c r="L284" s="5"/>
    </row>
    <row r="285" spans="11:12" customFormat="1" x14ac:dyDescent="0.25">
      <c r="K285" s="5"/>
      <c r="L285" s="5"/>
    </row>
    <row r="286" spans="11:12" customFormat="1" x14ac:dyDescent="0.25">
      <c r="K286" s="5"/>
      <c r="L286" s="5"/>
    </row>
    <row r="287" spans="11:12" customFormat="1" x14ac:dyDescent="0.25">
      <c r="K287" s="5"/>
      <c r="L287" s="5"/>
    </row>
    <row r="288" spans="11:12" customFormat="1" x14ac:dyDescent="0.25">
      <c r="K288" s="5"/>
      <c r="L288" s="5"/>
    </row>
    <row r="289" spans="11:12" customFormat="1" x14ac:dyDescent="0.25">
      <c r="K289" s="5"/>
      <c r="L289" s="5"/>
    </row>
    <row r="290" spans="11:12" customFormat="1" x14ac:dyDescent="0.25">
      <c r="K290" s="5"/>
      <c r="L290" s="5"/>
    </row>
    <row r="291" spans="11:12" customFormat="1" x14ac:dyDescent="0.25">
      <c r="K291" s="5"/>
      <c r="L291" s="5"/>
    </row>
    <row r="292" spans="11:12" customFormat="1" x14ac:dyDescent="0.25">
      <c r="K292" s="5"/>
      <c r="L292" s="5"/>
    </row>
    <row r="293" spans="11:12" customFormat="1" x14ac:dyDescent="0.25">
      <c r="K293" s="5"/>
      <c r="L293" s="5"/>
    </row>
    <row r="294" spans="11:12" customFormat="1" x14ac:dyDescent="0.25">
      <c r="K294" s="5"/>
      <c r="L294" s="5"/>
    </row>
    <row r="295" spans="11:12" customFormat="1" x14ac:dyDescent="0.25">
      <c r="K295" s="5"/>
      <c r="L295" s="5"/>
    </row>
    <row r="296" spans="11:12" customFormat="1" x14ac:dyDescent="0.25">
      <c r="K296" s="5"/>
      <c r="L296" s="5"/>
    </row>
    <row r="297" spans="11:12" customFormat="1" x14ac:dyDescent="0.25">
      <c r="K297" s="5"/>
      <c r="L297" s="5"/>
    </row>
    <row r="298" spans="11:12" customFormat="1" x14ac:dyDescent="0.25">
      <c r="K298" s="5"/>
      <c r="L298" s="5"/>
    </row>
    <row r="299" spans="11:12" customFormat="1" x14ac:dyDescent="0.25">
      <c r="K299" s="5"/>
      <c r="L299" s="5"/>
    </row>
    <row r="300" spans="11:12" customFormat="1" x14ac:dyDescent="0.25">
      <c r="K300" s="5"/>
      <c r="L300" s="5"/>
    </row>
    <row r="301" spans="11:12" customFormat="1" x14ac:dyDescent="0.25">
      <c r="K301" s="5"/>
      <c r="L301" s="5"/>
    </row>
    <row r="302" spans="11:12" customFormat="1" x14ac:dyDescent="0.25">
      <c r="K302" s="5"/>
      <c r="L302" s="5"/>
    </row>
    <row r="303" spans="11:12" customFormat="1" x14ac:dyDescent="0.25">
      <c r="K303" s="5"/>
      <c r="L303" s="5"/>
    </row>
    <row r="304" spans="11:12" customFormat="1" x14ac:dyDescent="0.25">
      <c r="K304" s="5"/>
      <c r="L304" s="5"/>
    </row>
    <row r="305" spans="11:12" customFormat="1" x14ac:dyDescent="0.25">
      <c r="K305" s="5"/>
      <c r="L305" s="5"/>
    </row>
    <row r="306" spans="11:12" customFormat="1" x14ac:dyDescent="0.25">
      <c r="K306" s="5"/>
      <c r="L306" s="5"/>
    </row>
    <row r="307" spans="11:12" customFormat="1" x14ac:dyDescent="0.25">
      <c r="K307" s="5"/>
      <c r="L307" s="5"/>
    </row>
    <row r="308" spans="11:12" customFormat="1" x14ac:dyDescent="0.25">
      <c r="K308" s="5"/>
      <c r="L308" s="5"/>
    </row>
    <row r="309" spans="11:12" customFormat="1" x14ac:dyDescent="0.25">
      <c r="K309" s="5"/>
      <c r="L309" s="5"/>
    </row>
    <row r="310" spans="11:12" customFormat="1" x14ac:dyDescent="0.25">
      <c r="K310" s="5"/>
      <c r="L310" s="5"/>
    </row>
    <row r="311" spans="11:12" customFormat="1" x14ac:dyDescent="0.25">
      <c r="K311" s="5"/>
      <c r="L311" s="5"/>
    </row>
    <row r="312" spans="11:12" customFormat="1" x14ac:dyDescent="0.25">
      <c r="K312" s="5"/>
      <c r="L312" s="5"/>
    </row>
    <row r="313" spans="11:12" customFormat="1" x14ac:dyDescent="0.25">
      <c r="K313" s="5"/>
      <c r="L313" s="5"/>
    </row>
    <row r="314" spans="11:12" customFormat="1" x14ac:dyDescent="0.25">
      <c r="K314" s="5"/>
      <c r="L314" s="5"/>
    </row>
    <row r="315" spans="11:12" customFormat="1" x14ac:dyDescent="0.25">
      <c r="K315" s="5"/>
      <c r="L315" s="5"/>
    </row>
    <row r="316" spans="11:12" customFormat="1" x14ac:dyDescent="0.25">
      <c r="K316" s="5"/>
      <c r="L316" s="5"/>
    </row>
    <row r="317" spans="11:12" customFormat="1" x14ac:dyDescent="0.25">
      <c r="K317" s="5"/>
      <c r="L317" s="5"/>
    </row>
    <row r="318" spans="11:12" customFormat="1" x14ac:dyDescent="0.25">
      <c r="K318" s="5"/>
      <c r="L318" s="5"/>
    </row>
    <row r="319" spans="11:12" customFormat="1" x14ac:dyDescent="0.25">
      <c r="K319" s="5"/>
      <c r="L319" s="5"/>
    </row>
    <row r="320" spans="11:12" customFormat="1" x14ac:dyDescent="0.25">
      <c r="K320" s="5"/>
      <c r="L320" s="5"/>
    </row>
    <row r="321" spans="11:12" customFormat="1" x14ac:dyDescent="0.25">
      <c r="K321" s="5"/>
      <c r="L321" s="5"/>
    </row>
    <row r="322" spans="11:12" customFormat="1" x14ac:dyDescent="0.25">
      <c r="K322" s="5"/>
      <c r="L322" s="5"/>
    </row>
    <row r="323" spans="11:12" customFormat="1" x14ac:dyDescent="0.25">
      <c r="K323" s="5"/>
      <c r="L323" s="5"/>
    </row>
    <row r="324" spans="11:12" customFormat="1" x14ac:dyDescent="0.25">
      <c r="K324" s="5"/>
      <c r="L324" s="5"/>
    </row>
    <row r="325" spans="11:12" customFormat="1" x14ac:dyDescent="0.25">
      <c r="K325" s="5"/>
      <c r="L325" s="5"/>
    </row>
    <row r="326" spans="11:12" customFormat="1" x14ac:dyDescent="0.25">
      <c r="K326" s="5"/>
      <c r="L326" s="5"/>
    </row>
    <row r="327" spans="11:12" customFormat="1" x14ac:dyDescent="0.25">
      <c r="K327" s="5"/>
      <c r="L327" s="5"/>
    </row>
    <row r="328" spans="11:12" customFormat="1" x14ac:dyDescent="0.25">
      <c r="K328" s="5"/>
      <c r="L328" s="5"/>
    </row>
    <row r="329" spans="11:12" customFormat="1" x14ac:dyDescent="0.25">
      <c r="K329" s="5"/>
      <c r="L329" s="5"/>
    </row>
    <row r="330" spans="11:12" customFormat="1" x14ac:dyDescent="0.25">
      <c r="K330" s="5"/>
      <c r="L330" s="5"/>
    </row>
    <row r="331" spans="11:12" customFormat="1" x14ac:dyDescent="0.25">
      <c r="K331" s="5"/>
      <c r="L331" s="5"/>
    </row>
    <row r="332" spans="11:12" customFormat="1" x14ac:dyDescent="0.25">
      <c r="K332" s="5"/>
      <c r="L332" s="5"/>
    </row>
    <row r="333" spans="11:12" customFormat="1" x14ac:dyDescent="0.25">
      <c r="K333" s="5"/>
      <c r="L333" s="5"/>
    </row>
    <row r="334" spans="11:12" customFormat="1" x14ac:dyDescent="0.25">
      <c r="K334" s="5"/>
      <c r="L334" s="5"/>
    </row>
    <row r="335" spans="11:12" customFormat="1" x14ac:dyDescent="0.25">
      <c r="K335" s="5"/>
      <c r="L335" s="5"/>
    </row>
    <row r="336" spans="11:12" customFormat="1" x14ac:dyDescent="0.25">
      <c r="K336" s="5"/>
      <c r="L336" s="5"/>
    </row>
    <row r="337" spans="11:12" customFormat="1" x14ac:dyDescent="0.25">
      <c r="K337" s="5"/>
      <c r="L337" s="5"/>
    </row>
    <row r="338" spans="11:12" customFormat="1" x14ac:dyDescent="0.25">
      <c r="K338" s="5"/>
      <c r="L338" s="5"/>
    </row>
    <row r="339" spans="11:12" customFormat="1" x14ac:dyDescent="0.25">
      <c r="K339" s="5"/>
      <c r="L339" s="5"/>
    </row>
    <row r="340" spans="11:12" customFormat="1" x14ac:dyDescent="0.25">
      <c r="K340" s="5"/>
      <c r="L340" s="5"/>
    </row>
    <row r="341" spans="11:12" customFormat="1" x14ac:dyDescent="0.25">
      <c r="K341" s="5"/>
      <c r="L341" s="5"/>
    </row>
    <row r="342" spans="11:12" customFormat="1" x14ac:dyDescent="0.25">
      <c r="K342" s="5"/>
      <c r="L342" s="5"/>
    </row>
    <row r="343" spans="11:12" customFormat="1" x14ac:dyDescent="0.25">
      <c r="K343" s="5"/>
      <c r="L343" s="5"/>
    </row>
    <row r="344" spans="11:12" customFormat="1" x14ac:dyDescent="0.25">
      <c r="K344" s="5"/>
      <c r="L344" s="5"/>
    </row>
    <row r="345" spans="11:12" customFormat="1" x14ac:dyDescent="0.25">
      <c r="K345" s="5"/>
      <c r="L345" s="5"/>
    </row>
    <row r="346" spans="11:12" customFormat="1" x14ac:dyDescent="0.25">
      <c r="K346" s="5"/>
      <c r="L346" s="5"/>
    </row>
    <row r="347" spans="11:12" customFormat="1" x14ac:dyDescent="0.25">
      <c r="K347" s="5"/>
      <c r="L347" s="5"/>
    </row>
    <row r="348" spans="11:12" customFormat="1" x14ac:dyDescent="0.25">
      <c r="K348" s="5"/>
      <c r="L348" s="5"/>
    </row>
    <row r="349" spans="11:12" customFormat="1" x14ac:dyDescent="0.25">
      <c r="K349" s="5"/>
      <c r="L349" s="5"/>
    </row>
    <row r="350" spans="11:12" customFormat="1" x14ac:dyDescent="0.25">
      <c r="K350" s="5"/>
      <c r="L350" s="5"/>
    </row>
    <row r="351" spans="11:12" customFormat="1" x14ac:dyDescent="0.25">
      <c r="K351" s="5"/>
      <c r="L351" s="5"/>
    </row>
    <row r="352" spans="11:12" customFormat="1" x14ac:dyDescent="0.25">
      <c r="K352" s="5"/>
      <c r="L352" s="5"/>
    </row>
    <row r="353" spans="11:12" customFormat="1" x14ac:dyDescent="0.25">
      <c r="K353" s="5"/>
      <c r="L353" s="5"/>
    </row>
    <row r="354" spans="11:12" customFormat="1" x14ac:dyDescent="0.25">
      <c r="K354" s="5"/>
      <c r="L354" s="5"/>
    </row>
    <row r="355" spans="11:12" customFormat="1" x14ac:dyDescent="0.25">
      <c r="K355" s="5"/>
      <c r="L355" s="5"/>
    </row>
    <row r="356" spans="11:12" customFormat="1" x14ac:dyDescent="0.25">
      <c r="K356" s="5"/>
      <c r="L356" s="5"/>
    </row>
    <row r="357" spans="11:12" customFormat="1" x14ac:dyDescent="0.25">
      <c r="K357" s="5"/>
      <c r="L357" s="5"/>
    </row>
    <row r="358" spans="11:12" customFormat="1" x14ac:dyDescent="0.25">
      <c r="K358" s="5"/>
      <c r="L358" s="5"/>
    </row>
    <row r="359" spans="11:12" customFormat="1" x14ac:dyDescent="0.25">
      <c r="K359" s="5"/>
      <c r="L359" s="5"/>
    </row>
    <row r="360" spans="11:12" customFormat="1" x14ac:dyDescent="0.25">
      <c r="K360" s="5"/>
      <c r="L360" s="5"/>
    </row>
    <row r="361" spans="11:12" customFormat="1" x14ac:dyDescent="0.25">
      <c r="K361" s="5"/>
      <c r="L361" s="5"/>
    </row>
    <row r="362" spans="11:12" customFormat="1" x14ac:dyDescent="0.25">
      <c r="K362" s="5"/>
      <c r="L362" s="5"/>
    </row>
    <row r="363" spans="11:12" customFormat="1" x14ac:dyDescent="0.25">
      <c r="K363" s="5"/>
      <c r="L363" s="5"/>
    </row>
    <row r="364" spans="11:12" customFormat="1" x14ac:dyDescent="0.25">
      <c r="K364" s="5"/>
      <c r="L364" s="5"/>
    </row>
    <row r="365" spans="11:12" customFormat="1" x14ac:dyDescent="0.25">
      <c r="K365" s="5"/>
      <c r="L365" s="5"/>
    </row>
    <row r="366" spans="11:12" customFormat="1" x14ac:dyDescent="0.25">
      <c r="K366" s="5"/>
      <c r="L366" s="5"/>
    </row>
    <row r="367" spans="11:12" customFormat="1" x14ac:dyDescent="0.25">
      <c r="K367" s="5"/>
      <c r="L367" s="5"/>
    </row>
    <row r="368" spans="11:12" customFormat="1" x14ac:dyDescent="0.25">
      <c r="K368" s="5"/>
      <c r="L368" s="5"/>
    </row>
    <row r="369" spans="11:12" customFormat="1" x14ac:dyDescent="0.25">
      <c r="K369" s="5"/>
      <c r="L369" s="5"/>
    </row>
    <row r="370" spans="11:12" customFormat="1" x14ac:dyDescent="0.25">
      <c r="K370" s="5"/>
      <c r="L370" s="5"/>
    </row>
    <row r="371" spans="11:12" customFormat="1" x14ac:dyDescent="0.25">
      <c r="K371" s="5"/>
      <c r="L371" s="5"/>
    </row>
    <row r="372" spans="11:12" customFormat="1" x14ac:dyDescent="0.25">
      <c r="K372" s="5"/>
      <c r="L372" s="5"/>
    </row>
    <row r="373" spans="11:12" customFormat="1" x14ac:dyDescent="0.25">
      <c r="K373" s="5"/>
      <c r="L373" s="5"/>
    </row>
    <row r="374" spans="11:12" customFormat="1" x14ac:dyDescent="0.25">
      <c r="K374" s="5"/>
      <c r="L374" s="5"/>
    </row>
    <row r="375" spans="11:12" customFormat="1" x14ac:dyDescent="0.25">
      <c r="K375" s="5"/>
      <c r="L375" s="5"/>
    </row>
    <row r="376" spans="11:12" customFormat="1" x14ac:dyDescent="0.25">
      <c r="K376" s="5"/>
      <c r="L376" s="5"/>
    </row>
    <row r="377" spans="11:12" customFormat="1" x14ac:dyDescent="0.25">
      <c r="K377" s="5"/>
      <c r="L377" s="5"/>
    </row>
    <row r="378" spans="11:12" customFormat="1" x14ac:dyDescent="0.25">
      <c r="K378" s="5"/>
      <c r="L378" s="5"/>
    </row>
    <row r="379" spans="11:12" customFormat="1" x14ac:dyDescent="0.25">
      <c r="K379" s="5"/>
      <c r="L379" s="5"/>
    </row>
    <row r="380" spans="11:12" customFormat="1" x14ac:dyDescent="0.25">
      <c r="K380" s="5"/>
      <c r="L380" s="5"/>
    </row>
    <row r="381" spans="11:12" customFormat="1" x14ac:dyDescent="0.25">
      <c r="K381" s="5"/>
      <c r="L381" s="5"/>
    </row>
    <row r="382" spans="11:12" customFormat="1" x14ac:dyDescent="0.25">
      <c r="K382" s="5"/>
      <c r="L382" s="5"/>
    </row>
    <row r="383" spans="11:12" customFormat="1" x14ac:dyDescent="0.25">
      <c r="K383" s="5"/>
      <c r="L383" s="5"/>
    </row>
    <row r="384" spans="11:12" customFormat="1" x14ac:dyDescent="0.25">
      <c r="K384" s="5"/>
      <c r="L384" s="5"/>
    </row>
    <row r="385" spans="11:12" customFormat="1" x14ac:dyDescent="0.25">
      <c r="K385" s="5"/>
      <c r="L385" s="5"/>
    </row>
    <row r="386" spans="11:12" customFormat="1" x14ac:dyDescent="0.25">
      <c r="K386" s="5"/>
      <c r="L386" s="5"/>
    </row>
    <row r="387" spans="11:12" customFormat="1" x14ac:dyDescent="0.25">
      <c r="K387" s="5"/>
      <c r="L387" s="5"/>
    </row>
    <row r="388" spans="11:12" customFormat="1" x14ac:dyDescent="0.25">
      <c r="K388" s="5"/>
      <c r="L388" s="5"/>
    </row>
    <row r="389" spans="11:12" customFormat="1" x14ac:dyDescent="0.25">
      <c r="K389" s="5"/>
      <c r="L389" s="5"/>
    </row>
    <row r="390" spans="11:12" customFormat="1" x14ac:dyDescent="0.25">
      <c r="K390" s="5"/>
      <c r="L390" s="5"/>
    </row>
    <row r="391" spans="11:12" customFormat="1" x14ac:dyDescent="0.25">
      <c r="K391" s="5"/>
      <c r="L391" s="5"/>
    </row>
    <row r="392" spans="11:12" customFormat="1" x14ac:dyDescent="0.25">
      <c r="K392" s="5"/>
      <c r="L392" s="5"/>
    </row>
    <row r="393" spans="11:12" customFormat="1" x14ac:dyDescent="0.25">
      <c r="K393" s="5"/>
      <c r="L393" s="5"/>
    </row>
    <row r="394" spans="11:12" customFormat="1" x14ac:dyDescent="0.25">
      <c r="K394" s="5"/>
      <c r="L394" s="5"/>
    </row>
    <row r="395" spans="11:12" customFormat="1" x14ac:dyDescent="0.25">
      <c r="K395" s="5"/>
      <c r="L395" s="5"/>
    </row>
    <row r="396" spans="11:12" customFormat="1" x14ac:dyDescent="0.25">
      <c r="K396" s="5"/>
      <c r="L396" s="5"/>
    </row>
    <row r="397" spans="11:12" customFormat="1" x14ac:dyDescent="0.25">
      <c r="K397" s="5"/>
      <c r="L397" s="5"/>
    </row>
    <row r="398" spans="11:12" customFormat="1" x14ac:dyDescent="0.25">
      <c r="K398" s="5"/>
      <c r="L398" s="5"/>
    </row>
    <row r="399" spans="11:12" customFormat="1" x14ac:dyDescent="0.25">
      <c r="K399" s="5"/>
      <c r="L399" s="5"/>
    </row>
    <row r="400" spans="11:12" customFormat="1" x14ac:dyDescent="0.25">
      <c r="K400" s="5"/>
      <c r="L400" s="5"/>
    </row>
    <row r="401" spans="11:12" customFormat="1" x14ac:dyDescent="0.25">
      <c r="K401" s="5"/>
      <c r="L401" s="5"/>
    </row>
    <row r="402" spans="11:12" customFormat="1" x14ac:dyDescent="0.25">
      <c r="K402" s="5"/>
      <c r="L402" s="5"/>
    </row>
    <row r="403" spans="11:12" customFormat="1" x14ac:dyDescent="0.25">
      <c r="K403" s="5"/>
      <c r="L403" s="5"/>
    </row>
    <row r="404" spans="11:12" customFormat="1" x14ac:dyDescent="0.25">
      <c r="K404" s="5"/>
      <c r="L404" s="5"/>
    </row>
    <row r="405" spans="11:12" customFormat="1" x14ac:dyDescent="0.25">
      <c r="K405" s="5"/>
      <c r="L405" s="5"/>
    </row>
    <row r="406" spans="11:12" customFormat="1" x14ac:dyDescent="0.25">
      <c r="K406" s="5"/>
      <c r="L406" s="5"/>
    </row>
    <row r="407" spans="11:12" customFormat="1" x14ac:dyDescent="0.25">
      <c r="K407" s="5"/>
      <c r="L407" s="5"/>
    </row>
    <row r="408" spans="11:12" customFormat="1" x14ac:dyDescent="0.25">
      <c r="K408" s="5"/>
      <c r="L408" s="5"/>
    </row>
    <row r="409" spans="11:12" customFormat="1" x14ac:dyDescent="0.25">
      <c r="K409" s="5"/>
      <c r="L409" s="5"/>
    </row>
    <row r="410" spans="11:12" customFormat="1" x14ac:dyDescent="0.25">
      <c r="K410" s="5"/>
      <c r="L410" s="5"/>
    </row>
    <row r="411" spans="11:12" customFormat="1" x14ac:dyDescent="0.25">
      <c r="K411" s="5"/>
      <c r="L411" s="5"/>
    </row>
    <row r="412" spans="11:12" customFormat="1" x14ac:dyDescent="0.25">
      <c r="K412" s="5"/>
      <c r="L412" s="5"/>
    </row>
    <row r="413" spans="11:12" customFormat="1" x14ac:dyDescent="0.25">
      <c r="K413" s="5"/>
      <c r="L413" s="5"/>
    </row>
    <row r="414" spans="11:12" customFormat="1" x14ac:dyDescent="0.25">
      <c r="K414" s="5"/>
      <c r="L414" s="5"/>
    </row>
    <row r="415" spans="11:12" customFormat="1" x14ac:dyDescent="0.25">
      <c r="K415" s="5"/>
      <c r="L415" s="5"/>
    </row>
    <row r="416" spans="11:12" customFormat="1" x14ac:dyDescent="0.25">
      <c r="K416" s="5"/>
      <c r="L416" s="5"/>
    </row>
    <row r="417" spans="11:12" customFormat="1" x14ac:dyDescent="0.25">
      <c r="K417" s="5"/>
      <c r="L417" s="5"/>
    </row>
    <row r="418" spans="11:12" customFormat="1" x14ac:dyDescent="0.25">
      <c r="K418" s="5"/>
      <c r="L418" s="5"/>
    </row>
    <row r="419" spans="11:12" customFormat="1" x14ac:dyDescent="0.25">
      <c r="K419" s="5"/>
      <c r="L419" s="5"/>
    </row>
    <row r="420" spans="11:12" customFormat="1" x14ac:dyDescent="0.25">
      <c r="K420" s="5"/>
      <c r="L420" s="5"/>
    </row>
    <row r="421" spans="11:12" customFormat="1" x14ac:dyDescent="0.25">
      <c r="K421" s="5"/>
      <c r="L421" s="5"/>
    </row>
    <row r="422" spans="11:12" customFormat="1" x14ac:dyDescent="0.25">
      <c r="K422" s="5"/>
      <c r="L422" s="5"/>
    </row>
    <row r="423" spans="11:12" customFormat="1" x14ac:dyDescent="0.25">
      <c r="K423" s="5"/>
      <c r="L423" s="5"/>
    </row>
    <row r="424" spans="11:12" customFormat="1" x14ac:dyDescent="0.25">
      <c r="K424" s="5"/>
      <c r="L424" s="5"/>
    </row>
    <row r="425" spans="11:12" customFormat="1" x14ac:dyDescent="0.25">
      <c r="K425" s="5"/>
      <c r="L425" s="5"/>
    </row>
    <row r="426" spans="11:12" customFormat="1" x14ac:dyDescent="0.25">
      <c r="K426" s="5"/>
      <c r="L426" s="5"/>
    </row>
    <row r="427" spans="11:12" customFormat="1" x14ac:dyDescent="0.25">
      <c r="K427" s="5"/>
      <c r="L427" s="5"/>
    </row>
    <row r="428" spans="11:12" customFormat="1" x14ac:dyDescent="0.25">
      <c r="K428" s="5"/>
      <c r="L428" s="5"/>
    </row>
    <row r="429" spans="11:12" customFormat="1" x14ac:dyDescent="0.25">
      <c r="K429" s="5"/>
      <c r="L429" s="5"/>
    </row>
    <row r="430" spans="11:12" customFormat="1" x14ac:dyDescent="0.25">
      <c r="K430" s="5"/>
      <c r="L430" s="5"/>
    </row>
    <row r="431" spans="11:12" customFormat="1" x14ac:dyDescent="0.25">
      <c r="K431" s="5"/>
      <c r="L431" s="5"/>
    </row>
    <row r="432" spans="11:12" customFormat="1" x14ac:dyDescent="0.25">
      <c r="K432" s="5"/>
      <c r="L432" s="5"/>
    </row>
    <row r="433" spans="11:12" customFormat="1" x14ac:dyDescent="0.25">
      <c r="K433" s="5"/>
      <c r="L433" s="5"/>
    </row>
  </sheetData>
  <sortState ref="A2:M469">
    <sortCondition ref="A2:A469"/>
  </sortState>
  <conditionalFormatting sqref="A2:A1048576">
    <cfRule type="duplicateValues" dxfId="35" priority="221"/>
  </conditionalFormatting>
  <conditionalFormatting sqref="A1">
    <cfRule type="duplicateValues" dxfId="34" priority="3"/>
  </conditionalFormatting>
  <conditionalFormatting sqref="D1">
    <cfRule type="duplicateValues" dxfId="33" priority="4"/>
  </conditionalFormatting>
  <conditionalFormatting sqref="D1">
    <cfRule type="duplicateValues" dxfId="32" priority="2"/>
  </conditionalFormatting>
  <conditionalFormatting sqref="A1">
    <cfRule type="duplicateValues" dxfId="31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Z629"/>
  <sheetViews>
    <sheetView workbookViewId="0">
      <pane ySplit="3" topLeftCell="A582" activePane="bottomLeft" state="frozen"/>
      <selection pane="bottomLeft" activeCell="B601" sqref="B600:B601"/>
    </sheetView>
  </sheetViews>
  <sheetFormatPr defaultColWidth="9.140625" defaultRowHeight="15" x14ac:dyDescent="0.25"/>
  <cols>
    <col min="1" max="1" width="12.5703125" bestFit="1" customWidth="1"/>
    <col min="2" max="5" width="12" style="9" bestFit="1" customWidth="1"/>
    <col min="8" max="10" width="9.140625" style="9"/>
    <col min="12" max="12" width="66" style="22" customWidth="1"/>
    <col min="13" max="14" width="9.140625" style="22"/>
    <col min="21" max="21" width="9.140625" customWidth="1"/>
  </cols>
  <sheetData>
    <row r="1" spans="1:26" x14ac:dyDescent="0.25">
      <c r="A1" s="4"/>
      <c r="B1" s="51" t="s">
        <v>2055</v>
      </c>
      <c r="C1" s="51"/>
      <c r="D1" s="51"/>
      <c r="E1" s="51"/>
      <c r="F1" s="4"/>
      <c r="G1" s="4"/>
      <c r="H1" s="21"/>
      <c r="I1" s="21"/>
      <c r="J1" s="21"/>
      <c r="K1" s="4"/>
    </row>
    <row r="2" spans="1:26" x14ac:dyDescent="0.25">
      <c r="A2" s="4"/>
      <c r="B2" s="51" t="s">
        <v>2056</v>
      </c>
      <c r="C2" s="51"/>
      <c r="D2" s="51" t="s">
        <v>2057</v>
      </c>
      <c r="E2" s="51"/>
      <c r="F2" s="4"/>
      <c r="G2" s="4"/>
      <c r="H2" s="21"/>
      <c r="I2" s="21"/>
      <c r="J2" s="21"/>
      <c r="K2" s="4"/>
    </row>
    <row r="3" spans="1:26" s="30" customFormat="1" ht="15.75" thickBot="1" x14ac:dyDescent="0.3">
      <c r="A3" s="15" t="s">
        <v>4</v>
      </c>
      <c r="B3" s="16" t="s">
        <v>2058</v>
      </c>
      <c r="C3" s="16" t="s">
        <v>2059</v>
      </c>
      <c r="D3" s="16" t="s">
        <v>2058</v>
      </c>
      <c r="E3" s="16" t="s">
        <v>2059</v>
      </c>
      <c r="F3" s="15"/>
      <c r="G3" s="15"/>
      <c r="H3" s="16" t="s">
        <v>2060</v>
      </c>
      <c r="I3" s="16" t="s">
        <v>3305</v>
      </c>
      <c r="J3" s="16" t="s">
        <v>5278</v>
      </c>
      <c r="K3" s="14"/>
      <c r="L3" s="28" t="s">
        <v>5279</v>
      </c>
      <c r="M3" s="28" t="s">
        <v>5280</v>
      </c>
      <c r="N3" s="29"/>
    </row>
    <row r="4" spans="1:26" x14ac:dyDescent="0.25">
      <c r="A4" t="s">
        <v>2061</v>
      </c>
      <c r="D4" s="9">
        <f>Parameters!$D$19</f>
        <v>1E-4</v>
      </c>
      <c r="E4" s="9">
        <f>Parameters!$E$19</f>
        <v>1</v>
      </c>
      <c r="H4" s="9" t="s">
        <v>2062</v>
      </c>
      <c r="I4" s="9">
        <v>-2</v>
      </c>
      <c r="J4" s="9">
        <v>21</v>
      </c>
      <c r="L4" s="22" t="s">
        <v>5281</v>
      </c>
      <c r="M4" s="23" t="s">
        <v>5282</v>
      </c>
    </row>
    <row r="5" spans="1:26" x14ac:dyDescent="0.25">
      <c r="A5" t="s">
        <v>2063</v>
      </c>
      <c r="D5" s="9">
        <f>Parameters!$D$19</f>
        <v>1E-4</v>
      </c>
      <c r="E5" s="9">
        <f>Parameters!$E$19</f>
        <v>1</v>
      </c>
      <c r="H5" s="9" t="s">
        <v>2064</v>
      </c>
      <c r="I5" s="9">
        <v>0</v>
      </c>
      <c r="J5" s="9">
        <v>3448</v>
      </c>
      <c r="L5" s="22" t="s">
        <v>5283</v>
      </c>
      <c r="M5" s="23" t="s">
        <v>5284</v>
      </c>
    </row>
    <row r="6" spans="1:26" x14ac:dyDescent="0.25">
      <c r="A6" t="s">
        <v>2065</v>
      </c>
      <c r="B6" s="9">
        <f>Parameters!$B$19</f>
        <v>1E-4</v>
      </c>
      <c r="C6" s="9">
        <f>Parameters!$C$19</f>
        <v>1</v>
      </c>
      <c r="D6" s="9">
        <f>Parameters!$D$19</f>
        <v>1E-4</v>
      </c>
      <c r="E6" s="9">
        <f>Parameters!$E$19</f>
        <v>1</v>
      </c>
      <c r="H6" s="9" t="s">
        <v>2066</v>
      </c>
      <c r="I6" s="9">
        <v>0</v>
      </c>
      <c r="J6" s="9">
        <v>8</v>
      </c>
      <c r="L6" s="22" t="s">
        <v>6047</v>
      </c>
      <c r="M6" s="24" t="s">
        <v>6048</v>
      </c>
      <c r="N6" s="24"/>
    </row>
    <row r="7" spans="1:26" x14ac:dyDescent="0.25">
      <c r="A7" t="s">
        <v>2067</v>
      </c>
      <c r="D7" s="9">
        <f>Parameters!$D$19</f>
        <v>1E-4</v>
      </c>
      <c r="E7" s="9">
        <f>Parameters!$E$19</f>
        <v>1</v>
      </c>
      <c r="H7" s="9" t="s">
        <v>2068</v>
      </c>
      <c r="I7" s="9">
        <v>-4</v>
      </c>
      <c r="J7" s="9">
        <v>4</v>
      </c>
      <c r="L7" s="22" t="s">
        <v>5285</v>
      </c>
      <c r="M7" s="23" t="s">
        <v>5286</v>
      </c>
    </row>
    <row r="8" spans="1:26" x14ac:dyDescent="0.25">
      <c r="A8" t="s">
        <v>2069</v>
      </c>
      <c r="B8" s="9">
        <f>Parameters!$B$19</f>
        <v>1E-4</v>
      </c>
      <c r="C8" s="9">
        <f>Parameters!$C$19</f>
        <v>1</v>
      </c>
      <c r="D8" s="9">
        <f>Parameters!$D$19</f>
        <v>1E-4</v>
      </c>
      <c r="E8" s="9">
        <f>Parameters!$E$19</f>
        <v>1</v>
      </c>
      <c r="H8" s="9" t="s">
        <v>2070</v>
      </c>
      <c r="I8" s="9">
        <v>2</v>
      </c>
      <c r="J8" s="9">
        <v>16</v>
      </c>
      <c r="L8" s="22" t="s">
        <v>5287</v>
      </c>
      <c r="M8" s="23" t="s">
        <v>5288</v>
      </c>
    </row>
    <row r="9" spans="1:26" x14ac:dyDescent="0.25">
      <c r="A9" t="s">
        <v>2071</v>
      </c>
      <c r="D9" s="9">
        <f>Parameters!$D$19</f>
        <v>1E-4</v>
      </c>
      <c r="E9" s="9">
        <f>Parameters!$E$19</f>
        <v>1</v>
      </c>
      <c r="H9" s="9" t="s">
        <v>2072</v>
      </c>
      <c r="I9" s="9">
        <v>-1</v>
      </c>
      <c r="J9" s="9">
        <v>6</v>
      </c>
      <c r="L9" s="22" t="s">
        <v>5289</v>
      </c>
      <c r="M9" s="23" t="s">
        <v>5290</v>
      </c>
    </row>
    <row r="10" spans="1:26" x14ac:dyDescent="0.25">
      <c r="A10" t="s">
        <v>2073</v>
      </c>
      <c r="D10" s="9">
        <f>Parameters!$D$19</f>
        <v>1E-4</v>
      </c>
      <c r="E10" s="9">
        <f>Parameters!$E$19</f>
        <v>1</v>
      </c>
      <c r="H10" s="9" t="s">
        <v>2074</v>
      </c>
      <c r="I10" s="9">
        <v>-1</v>
      </c>
      <c r="J10" s="9">
        <v>7</v>
      </c>
      <c r="L10" s="22" t="s">
        <v>6049</v>
      </c>
      <c r="M10" s="24" t="s">
        <v>6050</v>
      </c>
      <c r="N10" s="24"/>
    </row>
    <row r="11" spans="1:26" x14ac:dyDescent="0.25">
      <c r="A11" t="s">
        <v>2075</v>
      </c>
      <c r="D11" s="9">
        <f>Parameters!$D$19</f>
        <v>1E-4</v>
      </c>
      <c r="E11" s="9">
        <f>Parameters!$E$19</f>
        <v>1</v>
      </c>
      <c r="H11" s="9" t="s">
        <v>2076</v>
      </c>
      <c r="I11" s="9">
        <v>-1</v>
      </c>
      <c r="J11" s="9">
        <v>5</v>
      </c>
      <c r="L11" s="22" t="s">
        <v>6051</v>
      </c>
      <c r="M11" s="24" t="s">
        <v>6052</v>
      </c>
      <c r="N11" s="24"/>
    </row>
    <row r="12" spans="1:26" x14ac:dyDescent="0.25">
      <c r="A12" s="25" t="s">
        <v>2077</v>
      </c>
      <c r="B12" s="26"/>
      <c r="C12" s="26"/>
      <c r="D12" s="9">
        <f>Parameters!$D$19</f>
        <v>1E-4</v>
      </c>
      <c r="E12" s="9">
        <f>Parameters!$E$19</f>
        <v>1</v>
      </c>
      <c r="F12" s="25"/>
      <c r="G12" s="25"/>
      <c r="H12" s="26" t="s">
        <v>2078</v>
      </c>
      <c r="I12" s="10">
        <v>-1</v>
      </c>
      <c r="J12" s="26">
        <v>17</v>
      </c>
      <c r="K12" s="25"/>
      <c r="L12" s="22" t="s">
        <v>6053</v>
      </c>
      <c r="M12" s="24" t="s">
        <v>6054</v>
      </c>
      <c r="N12" s="24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t="s">
        <v>2079</v>
      </c>
      <c r="D13" s="9">
        <f>Parameters!$D$19</f>
        <v>1E-4</v>
      </c>
      <c r="E13" s="9">
        <f>Parameters!$E$19</f>
        <v>1</v>
      </c>
      <c r="H13" s="9" t="s">
        <v>2080</v>
      </c>
      <c r="I13" s="9">
        <v>-2</v>
      </c>
      <c r="J13" s="9">
        <v>5</v>
      </c>
      <c r="L13" s="22" t="s">
        <v>5291</v>
      </c>
      <c r="M13" s="23" t="s">
        <v>5292</v>
      </c>
    </row>
    <row r="14" spans="1:26" x14ac:dyDescent="0.25">
      <c r="A14" t="s">
        <v>2081</v>
      </c>
      <c r="D14" s="9">
        <f>Parameters!$D$19</f>
        <v>1E-4</v>
      </c>
      <c r="E14" s="9">
        <f>Parameters!$E$19</f>
        <v>1</v>
      </c>
      <c r="H14" s="9" t="s">
        <v>2082</v>
      </c>
      <c r="I14" s="9">
        <v>-1</v>
      </c>
      <c r="J14" s="9">
        <v>9</v>
      </c>
      <c r="L14" s="22" t="s">
        <v>5293</v>
      </c>
      <c r="M14" s="23" t="s">
        <v>5294</v>
      </c>
    </row>
    <row r="15" spans="1:26" x14ac:dyDescent="0.25">
      <c r="A15" t="s">
        <v>2083</v>
      </c>
      <c r="D15" s="9">
        <f>Parameters!$D$19</f>
        <v>1E-4</v>
      </c>
      <c r="E15" s="9">
        <f>Parameters!$E$19</f>
        <v>1</v>
      </c>
      <c r="H15" s="9" t="s">
        <v>2084</v>
      </c>
      <c r="I15" s="9">
        <v>-1</v>
      </c>
      <c r="J15" s="9">
        <v>11</v>
      </c>
      <c r="L15" s="22" t="s">
        <v>5295</v>
      </c>
      <c r="M15" s="23" t="s">
        <v>5296</v>
      </c>
    </row>
    <row r="16" spans="1:26" x14ac:dyDescent="0.25">
      <c r="A16" t="s">
        <v>2085</v>
      </c>
      <c r="D16" s="9">
        <f>Parameters!$D$19</f>
        <v>1E-4</v>
      </c>
      <c r="E16" s="9">
        <f>Parameters!$E$19</f>
        <v>1</v>
      </c>
      <c r="H16" s="9" t="s">
        <v>2086</v>
      </c>
      <c r="I16" s="9">
        <v>-1</v>
      </c>
      <c r="J16" s="9">
        <v>7</v>
      </c>
      <c r="L16" s="22" t="s">
        <v>6055</v>
      </c>
      <c r="M16" s="24" t="s">
        <v>5300</v>
      </c>
      <c r="N16" s="24"/>
    </row>
    <row r="17" spans="1:14" x14ac:dyDescent="0.25">
      <c r="A17" t="s">
        <v>2087</v>
      </c>
      <c r="D17" s="9">
        <f>Parameters!$D$19</f>
        <v>1E-4</v>
      </c>
      <c r="E17" s="9">
        <f>Parameters!$E$19</f>
        <v>1</v>
      </c>
      <c r="H17" s="9" t="s">
        <v>2088</v>
      </c>
      <c r="I17" s="9">
        <v>-4</v>
      </c>
      <c r="J17" s="9">
        <v>15</v>
      </c>
      <c r="L17" s="22" t="s">
        <v>5297</v>
      </c>
      <c r="M17" s="23" t="s">
        <v>5298</v>
      </c>
    </row>
    <row r="18" spans="1:14" x14ac:dyDescent="0.25">
      <c r="A18" t="s">
        <v>2089</v>
      </c>
      <c r="D18" s="9">
        <f>Parameters!$D$19</f>
        <v>1E-4</v>
      </c>
      <c r="E18" s="9">
        <f>Parameters!$E$19</f>
        <v>1</v>
      </c>
      <c r="H18" s="9" t="s">
        <v>2090</v>
      </c>
      <c r="I18" s="9">
        <v>-1</v>
      </c>
      <c r="J18" s="9">
        <v>7</v>
      </c>
      <c r="L18" s="22" t="s">
        <v>5299</v>
      </c>
      <c r="M18" s="23" t="s">
        <v>5300</v>
      </c>
    </row>
    <row r="19" spans="1:14" x14ac:dyDescent="0.25">
      <c r="A19" t="s">
        <v>2091</v>
      </c>
      <c r="D19" s="9">
        <f>Parameters!$D$19</f>
        <v>1E-4</v>
      </c>
      <c r="E19" s="9">
        <f>Parameters!$E$19</f>
        <v>1</v>
      </c>
      <c r="H19" s="9" t="s">
        <v>2092</v>
      </c>
      <c r="I19" s="9">
        <v>-2</v>
      </c>
      <c r="J19" s="9">
        <v>14</v>
      </c>
      <c r="L19" s="22" t="s">
        <v>5301</v>
      </c>
      <c r="M19" s="23" t="s">
        <v>5302</v>
      </c>
    </row>
    <row r="20" spans="1:14" x14ac:dyDescent="0.25">
      <c r="A20" t="s">
        <v>2093</v>
      </c>
      <c r="D20" s="9">
        <f>Parameters!$D$19</f>
        <v>1E-4</v>
      </c>
      <c r="E20" s="9">
        <f>Parameters!$E$19</f>
        <v>1</v>
      </c>
      <c r="H20" s="9" t="s">
        <v>2094</v>
      </c>
      <c r="I20" s="9">
        <v>0</v>
      </c>
      <c r="J20" s="9">
        <v>14</v>
      </c>
      <c r="L20" s="22" t="s">
        <v>5303</v>
      </c>
      <c r="M20" s="23" t="s">
        <v>5304</v>
      </c>
    </row>
    <row r="21" spans="1:14" x14ac:dyDescent="0.25">
      <c r="A21" t="s">
        <v>2095</v>
      </c>
      <c r="B21" s="9">
        <f>Parameters!$B$19</f>
        <v>1E-4</v>
      </c>
      <c r="C21" s="9">
        <f>Parameters!$C$19</f>
        <v>1</v>
      </c>
      <c r="D21" s="9">
        <f>Parameters!$D$19</f>
        <v>1E-4</v>
      </c>
      <c r="E21" s="9">
        <f>Parameters!$E$19</f>
        <v>1</v>
      </c>
      <c r="H21" s="9" t="s">
        <v>2096</v>
      </c>
      <c r="I21" s="9">
        <v>0</v>
      </c>
      <c r="J21" s="9">
        <v>14</v>
      </c>
      <c r="L21" s="22" t="s">
        <v>5305</v>
      </c>
      <c r="M21" s="23" t="s">
        <v>5304</v>
      </c>
    </row>
    <row r="22" spans="1:14" x14ac:dyDescent="0.25">
      <c r="A22" t="s">
        <v>2097</v>
      </c>
      <c r="D22" s="9">
        <f>Parameters!$D$19</f>
        <v>1E-4</v>
      </c>
      <c r="E22" s="9">
        <f>Parameters!$E$19</f>
        <v>1</v>
      </c>
      <c r="H22" s="9" t="s">
        <v>2098</v>
      </c>
      <c r="I22" s="9">
        <v>-1</v>
      </c>
      <c r="J22" s="9">
        <v>9</v>
      </c>
      <c r="L22" s="22" t="s">
        <v>5306</v>
      </c>
      <c r="M22" s="23" t="s">
        <v>5307</v>
      </c>
    </row>
    <row r="23" spans="1:14" x14ac:dyDescent="0.25">
      <c r="A23" t="s">
        <v>2099</v>
      </c>
      <c r="D23" s="9">
        <f>Parameters!$D$19</f>
        <v>1E-4</v>
      </c>
      <c r="E23" s="9">
        <f>Parameters!$E$19</f>
        <v>1</v>
      </c>
      <c r="H23" s="9" t="s">
        <v>2100</v>
      </c>
      <c r="I23" s="9">
        <v>0</v>
      </c>
      <c r="J23" s="9">
        <v>7</v>
      </c>
      <c r="L23" s="22" t="s">
        <v>5308</v>
      </c>
      <c r="M23" s="23" t="s">
        <v>5309</v>
      </c>
    </row>
    <row r="24" spans="1:14" x14ac:dyDescent="0.25">
      <c r="A24" t="s">
        <v>2101</v>
      </c>
      <c r="D24" s="9">
        <f>Parameters!$D$19</f>
        <v>1E-4</v>
      </c>
      <c r="E24" s="9">
        <f>Parameters!$E$19</f>
        <v>1</v>
      </c>
      <c r="H24" s="9" t="s">
        <v>2102</v>
      </c>
      <c r="I24" s="9">
        <v>-3</v>
      </c>
      <c r="J24" s="9">
        <v>13</v>
      </c>
      <c r="L24" s="22" t="s">
        <v>5310</v>
      </c>
      <c r="M24" s="23" t="s">
        <v>5311</v>
      </c>
    </row>
    <row r="25" spans="1:14" x14ac:dyDescent="0.25">
      <c r="A25" t="s">
        <v>2103</v>
      </c>
      <c r="D25" s="9">
        <f>Parameters!$D$19</f>
        <v>1E-4</v>
      </c>
      <c r="E25" s="9">
        <f>Parameters!$E$19</f>
        <v>1</v>
      </c>
      <c r="H25" s="9" t="s">
        <v>2104</v>
      </c>
      <c r="I25" s="9">
        <v>-3</v>
      </c>
      <c r="J25" s="9">
        <v>10</v>
      </c>
      <c r="L25" s="22" t="s">
        <v>5312</v>
      </c>
      <c r="M25" s="23" t="s">
        <v>5313</v>
      </c>
    </row>
    <row r="26" spans="1:14" x14ac:dyDescent="0.25">
      <c r="A26" t="s">
        <v>2105</v>
      </c>
      <c r="D26" s="9">
        <f>Parameters!$D$19</f>
        <v>1E-4</v>
      </c>
      <c r="E26" s="9">
        <f>Parameters!$E$19</f>
        <v>1</v>
      </c>
      <c r="H26" s="9" t="s">
        <v>2106</v>
      </c>
      <c r="I26" s="9">
        <v>-3</v>
      </c>
      <c r="J26" s="9">
        <v>8</v>
      </c>
      <c r="L26" s="22" t="s">
        <v>5314</v>
      </c>
      <c r="M26" s="23" t="s">
        <v>5315</v>
      </c>
    </row>
    <row r="27" spans="1:14" x14ac:dyDescent="0.25">
      <c r="A27" t="s">
        <v>2107</v>
      </c>
      <c r="B27" s="9">
        <f>Parameters!$B$19</f>
        <v>1E-4</v>
      </c>
      <c r="C27" s="9">
        <f>Parameters!$C$19</f>
        <v>1</v>
      </c>
      <c r="D27" s="9">
        <f>Parameters!$D$19</f>
        <v>1E-4</v>
      </c>
      <c r="E27" s="9">
        <f>Parameters!$E$19</f>
        <v>1</v>
      </c>
      <c r="H27" s="9" t="s">
        <v>2108</v>
      </c>
      <c r="I27" s="9">
        <v>-1</v>
      </c>
      <c r="J27" s="9">
        <v>9</v>
      </c>
      <c r="L27" s="22" t="s">
        <v>5316</v>
      </c>
      <c r="M27" s="23" t="s">
        <v>5317</v>
      </c>
    </row>
    <row r="28" spans="1:14" x14ac:dyDescent="0.25">
      <c r="A28" t="s">
        <v>2109</v>
      </c>
      <c r="D28" s="9">
        <f>Parameters!$D$19</f>
        <v>1E-4</v>
      </c>
      <c r="E28" s="9">
        <f>Parameters!$E$19</f>
        <v>1</v>
      </c>
      <c r="H28" s="9" t="s">
        <v>2110</v>
      </c>
      <c r="I28" s="9">
        <v>-1</v>
      </c>
      <c r="J28" s="9">
        <v>9</v>
      </c>
      <c r="L28" s="22" t="s">
        <v>6056</v>
      </c>
      <c r="M28" s="24" t="s">
        <v>5317</v>
      </c>
      <c r="N28" s="24"/>
    </row>
    <row r="29" spans="1:14" x14ac:dyDescent="0.25">
      <c r="A29" t="s">
        <v>2111</v>
      </c>
      <c r="D29" s="9">
        <f>Parameters!$D$19</f>
        <v>1E-4</v>
      </c>
      <c r="E29" s="9">
        <f>Parameters!$E$19</f>
        <v>1</v>
      </c>
      <c r="H29" s="9" t="s">
        <v>2112</v>
      </c>
      <c r="I29" s="9">
        <v>-3</v>
      </c>
      <c r="J29" s="9">
        <v>8</v>
      </c>
      <c r="L29" s="22" t="s">
        <v>6057</v>
      </c>
      <c r="M29" s="24" t="s">
        <v>5315</v>
      </c>
      <c r="N29" s="24"/>
    </row>
    <row r="30" spans="1:14" x14ac:dyDescent="0.25">
      <c r="A30" t="s">
        <v>2113</v>
      </c>
      <c r="D30" s="9">
        <f>Parameters!$D$19</f>
        <v>1E-4</v>
      </c>
      <c r="E30" s="9">
        <f>Parameters!$E$19</f>
        <v>1</v>
      </c>
      <c r="H30" s="9" t="s">
        <v>2114</v>
      </c>
      <c r="I30" s="9">
        <v>-1</v>
      </c>
      <c r="J30" s="9">
        <v>8</v>
      </c>
      <c r="L30" s="22" t="s">
        <v>5318</v>
      </c>
      <c r="M30" s="23" t="s">
        <v>5319</v>
      </c>
    </row>
    <row r="31" spans="1:14" x14ac:dyDescent="0.25">
      <c r="A31" t="s">
        <v>2115</v>
      </c>
      <c r="D31" s="9">
        <f>Parameters!$D$19</f>
        <v>1E-4</v>
      </c>
      <c r="E31" s="9">
        <f>Parameters!$E$19</f>
        <v>1</v>
      </c>
      <c r="H31" s="9" t="s">
        <v>2116</v>
      </c>
      <c r="I31" s="9">
        <v>-1</v>
      </c>
      <c r="J31" s="9">
        <v>9</v>
      </c>
      <c r="L31" s="22" t="s">
        <v>5320</v>
      </c>
      <c r="M31" s="23" t="s">
        <v>5319</v>
      </c>
    </row>
    <row r="32" spans="1:14" x14ac:dyDescent="0.25">
      <c r="A32" t="s">
        <v>2117</v>
      </c>
      <c r="D32" s="9">
        <f>Parameters!$D$19</f>
        <v>1E-4</v>
      </c>
      <c r="E32" s="9">
        <f>Parameters!$E$19</f>
        <v>1</v>
      </c>
      <c r="H32" s="9" t="s">
        <v>2118</v>
      </c>
      <c r="I32" s="9">
        <v>-1</v>
      </c>
      <c r="J32" s="9">
        <v>9</v>
      </c>
      <c r="L32" s="22" t="s">
        <v>5321</v>
      </c>
      <c r="M32" s="23" t="s">
        <v>5307</v>
      </c>
    </row>
    <row r="33" spans="1:14" x14ac:dyDescent="0.25">
      <c r="A33" t="s">
        <v>2119</v>
      </c>
      <c r="D33" s="9">
        <f>Parameters!$D$19</f>
        <v>1E-4</v>
      </c>
      <c r="E33" s="9">
        <f>Parameters!$E$19</f>
        <v>1</v>
      </c>
      <c r="H33" s="9" t="s">
        <v>2120</v>
      </c>
      <c r="I33" s="9">
        <v>0</v>
      </c>
      <c r="J33" s="9">
        <v>70</v>
      </c>
      <c r="L33" s="22" t="s">
        <v>5322</v>
      </c>
      <c r="M33" s="23" t="s">
        <v>5323</v>
      </c>
    </row>
    <row r="34" spans="1:14" x14ac:dyDescent="0.25">
      <c r="A34" t="s">
        <v>2121</v>
      </c>
      <c r="D34" s="9">
        <f>Parameters!$D$19</f>
        <v>1E-4</v>
      </c>
      <c r="E34" s="9">
        <f>Parameters!$E$19</f>
        <v>1</v>
      </c>
      <c r="H34" s="9" t="s">
        <v>2122</v>
      </c>
      <c r="I34" s="9">
        <v>0</v>
      </c>
      <c r="J34" s="9">
        <v>72</v>
      </c>
      <c r="L34" s="22" t="s">
        <v>5324</v>
      </c>
      <c r="M34" s="23" t="s">
        <v>5325</v>
      </c>
    </row>
    <row r="35" spans="1:14" x14ac:dyDescent="0.25">
      <c r="A35" t="s">
        <v>2123</v>
      </c>
      <c r="D35" s="9">
        <f>Parameters!$D$19</f>
        <v>1E-4</v>
      </c>
      <c r="E35" s="9">
        <f>Parameters!$E$19</f>
        <v>1</v>
      </c>
      <c r="H35" s="9" t="s">
        <v>2124</v>
      </c>
      <c r="I35" s="9">
        <v>-2</v>
      </c>
      <c r="J35" s="9">
        <v>9</v>
      </c>
      <c r="L35" s="22" t="s">
        <v>5326</v>
      </c>
      <c r="M35" s="23" t="s">
        <v>5327</v>
      </c>
    </row>
    <row r="36" spans="1:14" x14ac:dyDescent="0.25">
      <c r="A36" t="s">
        <v>2125</v>
      </c>
      <c r="D36" s="9">
        <f>Parameters!$D$19</f>
        <v>1E-4</v>
      </c>
      <c r="E36" s="9">
        <f>Parameters!$E$19</f>
        <v>1</v>
      </c>
      <c r="H36" s="9" t="s">
        <v>2126</v>
      </c>
      <c r="I36" s="9">
        <v>-2</v>
      </c>
      <c r="J36" s="9">
        <v>9</v>
      </c>
      <c r="L36" s="22" t="s">
        <v>5328</v>
      </c>
      <c r="M36" s="23" t="s">
        <v>5327</v>
      </c>
    </row>
    <row r="37" spans="1:14" x14ac:dyDescent="0.25">
      <c r="A37" t="s">
        <v>2127</v>
      </c>
      <c r="D37" s="9">
        <f>Parameters!$D$19</f>
        <v>1E-4</v>
      </c>
      <c r="E37" s="9">
        <f>Parameters!$E$19</f>
        <v>1</v>
      </c>
      <c r="H37" s="9" t="s">
        <v>2128</v>
      </c>
      <c r="I37" s="9">
        <v>-1</v>
      </c>
      <c r="J37" s="9">
        <v>3</v>
      </c>
      <c r="L37" s="22" t="s">
        <v>5329</v>
      </c>
      <c r="M37" s="23" t="s">
        <v>5330</v>
      </c>
    </row>
    <row r="38" spans="1:14" x14ac:dyDescent="0.25">
      <c r="A38" t="s">
        <v>2129</v>
      </c>
      <c r="D38" s="9">
        <f>Parameters!$D$19</f>
        <v>1E-4</v>
      </c>
      <c r="E38" s="9">
        <f>Parameters!$E$19</f>
        <v>1</v>
      </c>
      <c r="H38" s="9" t="s">
        <v>2130</v>
      </c>
      <c r="I38" s="9">
        <v>-2</v>
      </c>
      <c r="J38" s="9">
        <v>8</v>
      </c>
      <c r="L38" s="22" t="s">
        <v>5331</v>
      </c>
      <c r="M38" s="23" t="s">
        <v>5332</v>
      </c>
    </row>
    <row r="39" spans="1:14" x14ac:dyDescent="0.25">
      <c r="A39" t="s">
        <v>2131</v>
      </c>
      <c r="D39" s="9">
        <f>Parameters!$D$19</f>
        <v>1E-4</v>
      </c>
      <c r="E39" s="9">
        <f>Parameters!$E$19</f>
        <v>1</v>
      </c>
      <c r="H39" s="9" t="s">
        <v>2132</v>
      </c>
      <c r="I39" s="9">
        <v>-1</v>
      </c>
      <c r="J39" s="9">
        <v>6</v>
      </c>
      <c r="L39" s="22" t="s">
        <v>5333</v>
      </c>
      <c r="M39" s="23" t="s">
        <v>5334</v>
      </c>
    </row>
    <row r="40" spans="1:14" x14ac:dyDescent="0.25">
      <c r="A40" t="s">
        <v>2133</v>
      </c>
      <c r="D40" s="9">
        <f>Parameters!$D$19</f>
        <v>1E-4</v>
      </c>
      <c r="E40" s="9">
        <f>Parameters!$E$19</f>
        <v>1</v>
      </c>
      <c r="H40" s="9" t="s">
        <v>2134</v>
      </c>
      <c r="I40" s="9">
        <v>-3</v>
      </c>
      <c r="J40" s="9">
        <v>8</v>
      </c>
      <c r="L40" s="22" t="s">
        <v>6058</v>
      </c>
      <c r="M40" s="24" t="s">
        <v>6059</v>
      </c>
      <c r="N40" s="24"/>
    </row>
    <row r="41" spans="1:14" x14ac:dyDescent="0.25">
      <c r="A41" t="s">
        <v>2135</v>
      </c>
      <c r="D41" s="9">
        <f>Parameters!$D$19</f>
        <v>1E-4</v>
      </c>
      <c r="E41" s="9">
        <f>Parameters!$E$19</f>
        <v>1</v>
      </c>
      <c r="H41" s="9" t="s">
        <v>2136</v>
      </c>
      <c r="I41" s="9">
        <v>-3</v>
      </c>
      <c r="J41" s="9">
        <v>5</v>
      </c>
      <c r="L41" s="22" t="s">
        <v>5335</v>
      </c>
      <c r="M41" s="23" t="s">
        <v>5336</v>
      </c>
    </row>
    <row r="42" spans="1:14" x14ac:dyDescent="0.25">
      <c r="A42" t="s">
        <v>2137</v>
      </c>
      <c r="D42" s="9">
        <f>Parameters!$D$19</f>
        <v>1E-4</v>
      </c>
      <c r="E42" s="9">
        <f>Parameters!$E$19</f>
        <v>1</v>
      </c>
      <c r="H42" s="9" t="s">
        <v>2138</v>
      </c>
      <c r="I42" s="9">
        <v>-3</v>
      </c>
      <c r="J42" s="9">
        <v>7</v>
      </c>
      <c r="L42" s="22" t="s">
        <v>5337</v>
      </c>
      <c r="M42" s="23" t="s">
        <v>5338</v>
      </c>
    </row>
    <row r="43" spans="1:14" x14ac:dyDescent="0.25">
      <c r="A43" t="s">
        <v>2139</v>
      </c>
      <c r="D43" s="9">
        <f>Parameters!$D$19</f>
        <v>1E-4</v>
      </c>
      <c r="E43" s="9">
        <f>Parameters!$E$19</f>
        <v>1</v>
      </c>
      <c r="H43" s="9" t="s">
        <v>2140</v>
      </c>
      <c r="I43" s="9">
        <v>-2</v>
      </c>
      <c r="J43" s="9">
        <v>11</v>
      </c>
      <c r="L43" s="22" t="s">
        <v>6060</v>
      </c>
      <c r="M43" s="24" t="s">
        <v>6061</v>
      </c>
      <c r="N43" s="24"/>
    </row>
    <row r="44" spans="1:14" x14ac:dyDescent="0.25">
      <c r="A44" t="s">
        <v>2141</v>
      </c>
      <c r="D44" s="9">
        <f>Parameters!$D$19</f>
        <v>1E-4</v>
      </c>
      <c r="E44" s="9">
        <f>Parameters!$E$19</f>
        <v>1</v>
      </c>
      <c r="H44" s="9" t="s">
        <v>2142</v>
      </c>
      <c r="I44" s="9">
        <v>-2</v>
      </c>
      <c r="J44" s="9">
        <v>10</v>
      </c>
      <c r="L44" s="22" t="s">
        <v>6062</v>
      </c>
      <c r="M44" s="24" t="s">
        <v>6063</v>
      </c>
      <c r="N44" s="24"/>
    </row>
    <row r="45" spans="1:14" x14ac:dyDescent="0.25">
      <c r="A45" t="s">
        <v>2143</v>
      </c>
      <c r="D45" s="9">
        <f>Parameters!$D$19</f>
        <v>1E-4</v>
      </c>
      <c r="E45" s="9">
        <f>Parameters!$E$19</f>
        <v>1</v>
      </c>
      <c r="H45" s="9" t="s">
        <v>2144</v>
      </c>
      <c r="I45" s="9">
        <v>-1</v>
      </c>
      <c r="J45" s="9">
        <v>5</v>
      </c>
      <c r="L45" s="22" t="s">
        <v>5339</v>
      </c>
      <c r="M45" s="23" t="s">
        <v>5340</v>
      </c>
    </row>
    <row r="46" spans="1:14" x14ac:dyDescent="0.25">
      <c r="A46" t="s">
        <v>2145</v>
      </c>
      <c r="D46" s="9">
        <f>Parameters!$D$19</f>
        <v>1E-4</v>
      </c>
      <c r="E46" s="9">
        <f>Parameters!$E$19</f>
        <v>1</v>
      </c>
      <c r="H46" s="9" t="s">
        <v>2146</v>
      </c>
      <c r="I46" s="9">
        <v>0</v>
      </c>
      <c r="J46" s="9">
        <v>70</v>
      </c>
      <c r="L46" s="22" t="s">
        <v>6064</v>
      </c>
      <c r="M46" s="24" t="s">
        <v>6065</v>
      </c>
      <c r="N46" s="24"/>
    </row>
    <row r="47" spans="1:14" x14ac:dyDescent="0.25">
      <c r="A47" t="s">
        <v>2147</v>
      </c>
      <c r="D47" s="9">
        <f>Parameters!$D$19</f>
        <v>1E-4</v>
      </c>
      <c r="E47" s="9">
        <f>Parameters!$E$19</f>
        <v>1</v>
      </c>
      <c r="H47" s="9" t="s">
        <v>2148</v>
      </c>
      <c r="I47" s="9">
        <v>0</v>
      </c>
      <c r="J47" s="9">
        <v>72</v>
      </c>
      <c r="L47" s="22" t="s">
        <v>6066</v>
      </c>
      <c r="M47" s="24" t="s">
        <v>6067</v>
      </c>
      <c r="N47" s="24"/>
    </row>
    <row r="48" spans="1:14" x14ac:dyDescent="0.25">
      <c r="A48" t="s">
        <v>2149</v>
      </c>
      <c r="D48" s="9">
        <f>Parameters!$D$19</f>
        <v>1E-4</v>
      </c>
      <c r="E48" s="9">
        <f>Parameters!$E$19</f>
        <v>1</v>
      </c>
      <c r="H48" s="9" t="s">
        <v>2150</v>
      </c>
      <c r="I48" s="9">
        <v>0</v>
      </c>
      <c r="J48" s="9">
        <v>74</v>
      </c>
      <c r="L48" s="22" t="s">
        <v>6068</v>
      </c>
      <c r="M48" s="24" t="s">
        <v>6069</v>
      </c>
      <c r="N48" s="24"/>
    </row>
    <row r="49" spans="1:14" x14ac:dyDescent="0.25">
      <c r="A49" t="s">
        <v>2151</v>
      </c>
      <c r="D49" s="9">
        <f>Parameters!$D$19</f>
        <v>1E-4</v>
      </c>
      <c r="E49" s="9">
        <f>Parameters!$E$19</f>
        <v>1</v>
      </c>
      <c r="H49" s="9" t="s">
        <v>2152</v>
      </c>
      <c r="I49" s="9">
        <v>0</v>
      </c>
      <c r="J49" s="9">
        <v>74</v>
      </c>
      <c r="L49" s="22" t="s">
        <v>6070</v>
      </c>
      <c r="M49" s="24" t="s">
        <v>6071</v>
      </c>
      <c r="N49" s="24"/>
    </row>
    <row r="50" spans="1:14" x14ac:dyDescent="0.25">
      <c r="A50" t="s">
        <v>2153</v>
      </c>
      <c r="D50" s="9">
        <f>Parameters!$D$19</f>
        <v>1E-4</v>
      </c>
      <c r="E50" s="9">
        <f>Parameters!$E$19</f>
        <v>1</v>
      </c>
      <c r="H50" s="9" t="s">
        <v>2154</v>
      </c>
      <c r="I50" s="9">
        <v>0</v>
      </c>
      <c r="J50" s="9">
        <v>72</v>
      </c>
      <c r="L50" s="22" t="s">
        <v>6072</v>
      </c>
      <c r="M50" s="24" t="s">
        <v>6073</v>
      </c>
      <c r="N50" s="24"/>
    </row>
    <row r="51" spans="1:14" x14ac:dyDescent="0.25">
      <c r="A51" t="s">
        <v>2155</v>
      </c>
      <c r="D51" s="9">
        <f>Parameters!$D$19</f>
        <v>1E-4</v>
      </c>
      <c r="E51" s="9">
        <f>Parameters!$E$19</f>
        <v>1</v>
      </c>
      <c r="H51" s="9" t="s">
        <v>2156</v>
      </c>
      <c r="I51" s="9">
        <v>0</v>
      </c>
      <c r="J51" s="9">
        <v>70</v>
      </c>
      <c r="L51" s="22" t="s">
        <v>6074</v>
      </c>
      <c r="M51" s="24" t="s">
        <v>6075</v>
      </c>
      <c r="N51" s="24"/>
    </row>
    <row r="52" spans="1:14" x14ac:dyDescent="0.25">
      <c r="A52" t="s">
        <v>2157</v>
      </c>
      <c r="D52" s="9">
        <f>Parameters!$D$19</f>
        <v>1E-4</v>
      </c>
      <c r="E52" s="9">
        <f>Parameters!$E$19</f>
        <v>1</v>
      </c>
      <c r="H52" s="9" t="s">
        <v>2158</v>
      </c>
      <c r="I52" s="9">
        <v>-4</v>
      </c>
      <c r="J52" s="9">
        <v>22</v>
      </c>
      <c r="L52" s="22" t="s">
        <v>6076</v>
      </c>
      <c r="M52" s="24" t="s">
        <v>6077</v>
      </c>
      <c r="N52" s="24"/>
    </row>
    <row r="53" spans="1:14" x14ac:dyDescent="0.25">
      <c r="A53" t="s">
        <v>2159</v>
      </c>
      <c r="D53" s="9">
        <f>Parameters!$D$19</f>
        <v>1E-4</v>
      </c>
      <c r="E53" s="9">
        <f>Parameters!$E$19</f>
        <v>1</v>
      </c>
      <c r="H53" s="9" t="s">
        <v>2160</v>
      </c>
      <c r="I53" s="9">
        <v>-3</v>
      </c>
      <c r="J53" s="9">
        <v>4</v>
      </c>
      <c r="L53" s="22" t="s">
        <v>5341</v>
      </c>
      <c r="M53" s="23" t="s">
        <v>5342</v>
      </c>
    </row>
    <row r="54" spans="1:14" x14ac:dyDescent="0.25">
      <c r="A54" t="s">
        <v>2161</v>
      </c>
      <c r="D54" s="9">
        <f>Parameters!$D$19</f>
        <v>1E-4</v>
      </c>
      <c r="E54" s="9">
        <f>Parameters!$E$19</f>
        <v>1</v>
      </c>
      <c r="H54" s="9" t="s">
        <v>2162</v>
      </c>
      <c r="I54" s="9">
        <v>-3</v>
      </c>
      <c r="J54" s="9">
        <v>2</v>
      </c>
      <c r="L54" s="22" t="s">
        <v>6078</v>
      </c>
      <c r="M54" s="24" t="s">
        <v>6079</v>
      </c>
      <c r="N54" s="24"/>
    </row>
    <row r="55" spans="1:14" x14ac:dyDescent="0.25">
      <c r="A55" t="s">
        <v>2163</v>
      </c>
      <c r="D55" s="9">
        <f>Parameters!$D$19</f>
        <v>1E-4</v>
      </c>
      <c r="E55" s="9">
        <f>Parameters!$E$19</f>
        <v>1</v>
      </c>
      <c r="H55" s="9" t="s">
        <v>2164</v>
      </c>
      <c r="I55" s="9">
        <v>-2</v>
      </c>
      <c r="J55" s="9">
        <v>10</v>
      </c>
      <c r="L55" s="22" t="s">
        <v>6080</v>
      </c>
      <c r="M55" s="24" t="s">
        <v>6081</v>
      </c>
      <c r="N55" s="24"/>
    </row>
    <row r="56" spans="1:14" x14ac:dyDescent="0.25">
      <c r="A56" t="s">
        <v>2165</v>
      </c>
      <c r="D56" s="9">
        <f>Parameters!$D$19</f>
        <v>1E-4</v>
      </c>
      <c r="E56" s="9">
        <f>Parameters!$E$19</f>
        <v>1</v>
      </c>
      <c r="H56" s="9" t="s">
        <v>2166</v>
      </c>
      <c r="I56" s="9">
        <v>-1</v>
      </c>
      <c r="J56" s="9">
        <v>7</v>
      </c>
      <c r="L56" s="22" t="s">
        <v>5343</v>
      </c>
      <c r="M56" s="23" t="s">
        <v>5344</v>
      </c>
    </row>
    <row r="57" spans="1:14" x14ac:dyDescent="0.25">
      <c r="A57" t="s">
        <v>2167</v>
      </c>
      <c r="D57" s="9">
        <f>Parameters!$D$19</f>
        <v>1E-4</v>
      </c>
      <c r="E57" s="9">
        <f>Parameters!$E$19</f>
        <v>1</v>
      </c>
      <c r="H57" s="9" t="s">
        <v>2168</v>
      </c>
      <c r="I57" s="9">
        <v>-2</v>
      </c>
      <c r="J57" s="9">
        <v>10</v>
      </c>
      <c r="L57" s="22" t="s">
        <v>5345</v>
      </c>
      <c r="M57" s="23" t="s">
        <v>5346</v>
      </c>
    </row>
    <row r="58" spans="1:14" x14ac:dyDescent="0.25">
      <c r="A58" t="s">
        <v>2169</v>
      </c>
      <c r="D58" s="9">
        <f>Parameters!$D$19</f>
        <v>1E-4</v>
      </c>
      <c r="E58" s="9">
        <f>Parameters!$E$19</f>
        <v>1</v>
      </c>
      <c r="H58" s="9" t="s">
        <v>2170</v>
      </c>
      <c r="I58" s="9">
        <v>-2</v>
      </c>
      <c r="J58" s="9">
        <v>10</v>
      </c>
      <c r="L58" s="22" t="s">
        <v>5347</v>
      </c>
      <c r="M58" s="23" t="s">
        <v>5346</v>
      </c>
    </row>
    <row r="59" spans="1:14" x14ac:dyDescent="0.25">
      <c r="A59" t="s">
        <v>2171</v>
      </c>
      <c r="D59" s="9">
        <f>Parameters!$D$19</f>
        <v>1E-4</v>
      </c>
      <c r="E59" s="9">
        <f>Parameters!$E$19</f>
        <v>1</v>
      </c>
      <c r="H59" s="9" t="s">
        <v>2172</v>
      </c>
      <c r="I59" s="9">
        <v>-2</v>
      </c>
      <c r="J59" s="9">
        <v>8</v>
      </c>
      <c r="L59" s="22" t="s">
        <v>5348</v>
      </c>
      <c r="M59" s="23" t="s">
        <v>5349</v>
      </c>
    </row>
    <row r="60" spans="1:14" x14ac:dyDescent="0.25">
      <c r="A60" t="s">
        <v>2173</v>
      </c>
      <c r="D60" s="9">
        <f>Parameters!$D$19</f>
        <v>1E-4</v>
      </c>
      <c r="E60" s="9">
        <f>Parameters!$E$19</f>
        <v>1</v>
      </c>
      <c r="H60" s="9" t="s">
        <v>2174</v>
      </c>
      <c r="I60" s="9">
        <v>-1</v>
      </c>
      <c r="J60" s="9">
        <v>9</v>
      </c>
      <c r="L60" s="22" t="s">
        <v>6082</v>
      </c>
      <c r="M60" s="24" t="s">
        <v>5319</v>
      </c>
      <c r="N60" s="24"/>
    </row>
    <row r="61" spans="1:14" x14ac:dyDescent="0.25">
      <c r="A61" t="s">
        <v>2175</v>
      </c>
      <c r="D61" s="9">
        <f>Parameters!$D$19</f>
        <v>1E-4</v>
      </c>
      <c r="E61" s="9">
        <f>Parameters!$E$19</f>
        <v>1</v>
      </c>
      <c r="H61" s="9" t="s">
        <v>2176</v>
      </c>
      <c r="I61" s="9">
        <v>-3</v>
      </c>
      <c r="J61" s="9">
        <v>8</v>
      </c>
      <c r="L61" s="22" t="s">
        <v>6083</v>
      </c>
      <c r="M61" s="24" t="s">
        <v>6084</v>
      </c>
      <c r="N61" s="24"/>
    </row>
    <row r="62" spans="1:14" x14ac:dyDescent="0.25">
      <c r="A62" t="s">
        <v>2177</v>
      </c>
      <c r="D62" s="9">
        <f>Parameters!$D$19</f>
        <v>1E-4</v>
      </c>
      <c r="E62" s="9">
        <f>Parameters!$E$19</f>
        <v>1</v>
      </c>
      <c r="H62" s="9" t="s">
        <v>2178</v>
      </c>
      <c r="I62" s="9">
        <v>-1</v>
      </c>
      <c r="J62" s="9">
        <v>9</v>
      </c>
      <c r="L62" s="22" t="s">
        <v>5350</v>
      </c>
      <c r="M62" s="23" t="s">
        <v>5351</v>
      </c>
    </row>
    <row r="63" spans="1:14" x14ac:dyDescent="0.25">
      <c r="A63" t="s">
        <v>2179</v>
      </c>
      <c r="D63" s="9">
        <f>Parameters!$D$19</f>
        <v>1E-4</v>
      </c>
      <c r="E63" s="9">
        <f>Parameters!$E$19</f>
        <v>1</v>
      </c>
      <c r="H63" s="9" t="s">
        <v>2180</v>
      </c>
      <c r="I63" s="9">
        <v>-1</v>
      </c>
      <c r="J63" s="9">
        <v>7</v>
      </c>
      <c r="L63" s="22" t="s">
        <v>5352</v>
      </c>
      <c r="M63" s="23" t="s">
        <v>5353</v>
      </c>
    </row>
    <row r="64" spans="1:14" x14ac:dyDescent="0.25">
      <c r="A64" t="s">
        <v>2181</v>
      </c>
      <c r="B64" s="9">
        <f>Parameters!$B$19</f>
        <v>1E-4</v>
      </c>
      <c r="C64" s="9">
        <f>Parameters!$C$19</f>
        <v>1</v>
      </c>
      <c r="D64" s="9">
        <f>Parameters!$D$19</f>
        <v>1E-4</v>
      </c>
      <c r="E64" s="9">
        <f>Parameters!$E$19</f>
        <v>1</v>
      </c>
      <c r="H64" s="9" t="s">
        <v>2182</v>
      </c>
      <c r="I64" s="9">
        <v>-1</v>
      </c>
      <c r="J64" s="9">
        <v>7</v>
      </c>
      <c r="L64" s="22" t="s">
        <v>5354</v>
      </c>
      <c r="M64" s="23" t="s">
        <v>5355</v>
      </c>
    </row>
    <row r="65" spans="1:14" x14ac:dyDescent="0.25">
      <c r="A65" t="s">
        <v>2183</v>
      </c>
      <c r="D65" s="9">
        <f>Parameters!$D$19</f>
        <v>1E-4</v>
      </c>
      <c r="E65" s="9">
        <f>Parameters!$E$19</f>
        <v>1</v>
      </c>
      <c r="H65" s="9" t="s">
        <v>2184</v>
      </c>
      <c r="I65" s="9">
        <v>-1</v>
      </c>
      <c r="J65" s="9">
        <v>47</v>
      </c>
      <c r="L65" s="22" t="s">
        <v>5356</v>
      </c>
      <c r="M65" s="23" t="s">
        <v>5357</v>
      </c>
    </row>
    <row r="66" spans="1:14" x14ac:dyDescent="0.25">
      <c r="A66" t="s">
        <v>2185</v>
      </c>
      <c r="B66" s="9">
        <f>Parameters!$B$19</f>
        <v>1E-4</v>
      </c>
      <c r="C66" s="9">
        <f>Parameters!$C$19</f>
        <v>1</v>
      </c>
      <c r="D66" s="9">
        <f>Parameters!$D$19</f>
        <v>1E-4</v>
      </c>
      <c r="E66" s="9">
        <f>Parameters!$E$19</f>
        <v>1</v>
      </c>
      <c r="H66" s="9" t="s">
        <v>2186</v>
      </c>
      <c r="I66" s="9">
        <v>-1</v>
      </c>
      <c r="J66" s="9">
        <v>9</v>
      </c>
      <c r="L66" s="22" t="s">
        <v>5358</v>
      </c>
      <c r="M66" s="23" t="s">
        <v>5359</v>
      </c>
    </row>
    <row r="67" spans="1:14" x14ac:dyDescent="0.25">
      <c r="A67" t="s">
        <v>2187</v>
      </c>
      <c r="D67" s="9">
        <f>Parameters!$D$19</f>
        <v>1E-4</v>
      </c>
      <c r="E67" s="9">
        <f>Parameters!$E$19</f>
        <v>1</v>
      </c>
      <c r="H67" s="9" t="s">
        <v>2188</v>
      </c>
      <c r="I67" s="9">
        <v>-2</v>
      </c>
      <c r="J67" s="9">
        <v>12</v>
      </c>
      <c r="L67" s="22" t="s">
        <v>5360</v>
      </c>
      <c r="M67" s="23" t="s">
        <v>5361</v>
      </c>
    </row>
    <row r="68" spans="1:14" x14ac:dyDescent="0.25">
      <c r="A68" t="s">
        <v>2189</v>
      </c>
      <c r="D68" s="9">
        <f>Parameters!$D$19</f>
        <v>1E-4</v>
      </c>
      <c r="E68" s="9">
        <f>Parameters!$E$19</f>
        <v>1</v>
      </c>
      <c r="H68" s="9" t="s">
        <v>2190</v>
      </c>
      <c r="I68" s="9">
        <v>-1</v>
      </c>
      <c r="J68" s="9">
        <v>7</v>
      </c>
      <c r="L68" s="22" t="s">
        <v>5362</v>
      </c>
      <c r="M68" s="23" t="s">
        <v>5363</v>
      </c>
    </row>
    <row r="69" spans="1:14" x14ac:dyDescent="0.25">
      <c r="A69" t="s">
        <v>2191</v>
      </c>
      <c r="D69" s="9">
        <f>Parameters!$D$19</f>
        <v>1E-4</v>
      </c>
      <c r="E69" s="9">
        <f>Parameters!$E$19</f>
        <v>1</v>
      </c>
      <c r="H69" s="9" t="s">
        <v>2192</v>
      </c>
      <c r="I69" s="9">
        <v>-1</v>
      </c>
      <c r="J69" s="9">
        <v>9</v>
      </c>
      <c r="L69" s="22" t="s">
        <v>5364</v>
      </c>
      <c r="M69" s="23" t="s">
        <v>5365</v>
      </c>
    </row>
    <row r="70" spans="1:14" x14ac:dyDescent="0.25">
      <c r="A70" t="s">
        <v>2193</v>
      </c>
      <c r="D70" s="9">
        <f>Parameters!$D$19</f>
        <v>1E-4</v>
      </c>
      <c r="E70" s="9">
        <f>Parameters!$E$19</f>
        <v>1</v>
      </c>
      <c r="H70" s="9" t="s">
        <v>2194</v>
      </c>
      <c r="I70" s="9">
        <v>-1</v>
      </c>
      <c r="J70" s="9">
        <v>69</v>
      </c>
      <c r="L70" s="22" t="s">
        <v>6085</v>
      </c>
      <c r="M70" s="24" t="s">
        <v>6086</v>
      </c>
      <c r="N70" s="24"/>
    </row>
    <row r="71" spans="1:14" x14ac:dyDescent="0.25">
      <c r="A71" t="s">
        <v>2195</v>
      </c>
      <c r="D71" s="9">
        <f>Parameters!$D$19</f>
        <v>1E-4</v>
      </c>
      <c r="E71" s="9">
        <f>Parameters!$E$19</f>
        <v>1</v>
      </c>
      <c r="H71" s="9" t="s">
        <v>2196</v>
      </c>
      <c r="I71" s="9">
        <v>-3</v>
      </c>
      <c r="J71" s="9">
        <v>4</v>
      </c>
      <c r="L71" s="22" t="s">
        <v>5366</v>
      </c>
      <c r="M71" s="23" t="s">
        <v>5342</v>
      </c>
    </row>
    <row r="72" spans="1:14" x14ac:dyDescent="0.25">
      <c r="A72" t="s">
        <v>2197</v>
      </c>
      <c r="D72" s="9">
        <f>Parameters!$D$19</f>
        <v>1E-4</v>
      </c>
      <c r="E72" s="9">
        <f>Parameters!$E$19</f>
        <v>1</v>
      </c>
      <c r="H72" s="9" t="s">
        <v>2198</v>
      </c>
      <c r="I72" s="9">
        <v>-3</v>
      </c>
      <c r="J72" s="9">
        <v>2</v>
      </c>
      <c r="L72" s="22" t="s">
        <v>5367</v>
      </c>
      <c r="M72" s="23" t="s">
        <v>5368</v>
      </c>
    </row>
    <row r="73" spans="1:14" x14ac:dyDescent="0.25">
      <c r="A73" t="s">
        <v>2199</v>
      </c>
      <c r="D73" s="9">
        <f>Parameters!$D$19</f>
        <v>1E-4</v>
      </c>
      <c r="E73" s="9">
        <f>Parameters!$E$19</f>
        <v>1</v>
      </c>
      <c r="H73" s="9" t="s">
        <v>2200</v>
      </c>
      <c r="I73" s="9">
        <v>-4</v>
      </c>
      <c r="J73" s="9">
        <v>9</v>
      </c>
      <c r="L73" s="22" t="s">
        <v>5369</v>
      </c>
      <c r="M73" s="23" t="s">
        <v>5370</v>
      </c>
    </row>
    <row r="74" spans="1:14" x14ac:dyDescent="0.25">
      <c r="A74" t="s">
        <v>2201</v>
      </c>
      <c r="B74" s="9">
        <f>Parameters!$B$19</f>
        <v>1E-4</v>
      </c>
      <c r="C74" s="9">
        <f>Parameters!$C$19</f>
        <v>1</v>
      </c>
      <c r="D74" s="9">
        <f>Parameters!$D$19</f>
        <v>1E-4</v>
      </c>
      <c r="E74" s="9">
        <f>Parameters!$E$19</f>
        <v>1</v>
      </c>
      <c r="H74" s="9" t="s">
        <v>2202</v>
      </c>
      <c r="I74" s="9">
        <v>0</v>
      </c>
      <c r="J74" s="9">
        <v>9</v>
      </c>
      <c r="L74" s="22" t="s">
        <v>5371</v>
      </c>
      <c r="M74" s="23" t="s">
        <v>5372</v>
      </c>
    </row>
    <row r="75" spans="1:14" x14ac:dyDescent="0.25">
      <c r="A75" t="s">
        <v>2203</v>
      </c>
      <c r="D75" s="9">
        <f>Parameters!$D$19</f>
        <v>1E-4</v>
      </c>
      <c r="E75" s="9">
        <f>Parameters!$E$19</f>
        <v>1</v>
      </c>
      <c r="H75" s="9" t="s">
        <v>2204</v>
      </c>
      <c r="I75" s="9">
        <v>1</v>
      </c>
      <c r="J75" s="9">
        <v>10</v>
      </c>
      <c r="L75" s="22" t="s">
        <v>5373</v>
      </c>
      <c r="M75" s="23" t="s">
        <v>5374</v>
      </c>
    </row>
    <row r="76" spans="1:14" x14ac:dyDescent="0.25">
      <c r="A76" t="s">
        <v>2205</v>
      </c>
      <c r="D76" s="9">
        <f>Parameters!$D$19</f>
        <v>1E-4</v>
      </c>
      <c r="E76" s="9">
        <f>Parameters!$E$19</f>
        <v>1</v>
      </c>
      <c r="H76" s="9" t="s">
        <v>2206</v>
      </c>
      <c r="I76" s="9">
        <v>-1</v>
      </c>
      <c r="J76" s="9">
        <v>6</v>
      </c>
      <c r="L76" s="22" t="s">
        <v>5375</v>
      </c>
      <c r="M76" s="23" t="s">
        <v>5376</v>
      </c>
    </row>
    <row r="77" spans="1:14" x14ac:dyDescent="0.25">
      <c r="A77" t="s">
        <v>2207</v>
      </c>
      <c r="D77" s="9">
        <f>Parameters!$D$19</f>
        <v>1E-4</v>
      </c>
      <c r="E77" s="9">
        <f>Parameters!$E$19</f>
        <v>1</v>
      </c>
      <c r="H77" s="9" t="s">
        <v>2208</v>
      </c>
      <c r="I77" s="9">
        <v>-1</v>
      </c>
      <c r="J77" s="9">
        <v>10</v>
      </c>
      <c r="L77" s="22" t="s">
        <v>5377</v>
      </c>
      <c r="M77" s="23" t="s">
        <v>5378</v>
      </c>
    </row>
    <row r="78" spans="1:14" x14ac:dyDescent="0.25">
      <c r="A78" t="s">
        <v>2209</v>
      </c>
      <c r="D78" s="9">
        <f>Parameters!$D$19</f>
        <v>1E-4</v>
      </c>
      <c r="E78" s="9">
        <f>Parameters!$E$19</f>
        <v>1</v>
      </c>
      <c r="H78" s="9" t="s">
        <v>2210</v>
      </c>
      <c r="I78" s="9">
        <v>0</v>
      </c>
      <c r="J78" s="9">
        <v>9</v>
      </c>
      <c r="L78" s="22" t="s">
        <v>6087</v>
      </c>
      <c r="M78" s="24" t="s">
        <v>6088</v>
      </c>
      <c r="N78" s="24"/>
    </row>
    <row r="79" spans="1:14" x14ac:dyDescent="0.25">
      <c r="A79" t="s">
        <v>2211</v>
      </c>
      <c r="D79" s="9">
        <f>Parameters!$D$19</f>
        <v>1E-4</v>
      </c>
      <c r="E79" s="9">
        <f>Parameters!$E$19</f>
        <v>1</v>
      </c>
      <c r="H79" s="9" t="s">
        <v>2212</v>
      </c>
      <c r="I79" s="9">
        <v>-2</v>
      </c>
      <c r="J79" s="9">
        <v>8</v>
      </c>
      <c r="L79" s="22" t="s">
        <v>6089</v>
      </c>
      <c r="M79" s="24" t="s">
        <v>6090</v>
      </c>
      <c r="N79" s="24"/>
    </row>
    <row r="80" spans="1:14" x14ac:dyDescent="0.25">
      <c r="A80" t="s">
        <v>2213</v>
      </c>
      <c r="D80" s="9">
        <f>Parameters!$D$19</f>
        <v>1E-4</v>
      </c>
      <c r="E80" s="9">
        <f>Parameters!$E$19</f>
        <v>1</v>
      </c>
      <c r="H80" s="9" t="s">
        <v>2214</v>
      </c>
      <c r="I80" s="9">
        <v>-2</v>
      </c>
      <c r="J80" s="9">
        <v>23</v>
      </c>
      <c r="L80" s="22" t="s">
        <v>6091</v>
      </c>
      <c r="M80" s="24" t="s">
        <v>6092</v>
      </c>
      <c r="N80" s="24"/>
    </row>
    <row r="81" spans="1:14" x14ac:dyDescent="0.25">
      <c r="A81" t="s">
        <v>2215</v>
      </c>
      <c r="D81" s="9">
        <f>Parameters!$D$19</f>
        <v>1E-4</v>
      </c>
      <c r="E81" s="9">
        <f>Parameters!$E$19</f>
        <v>1</v>
      </c>
      <c r="H81" s="9" t="s">
        <v>2216</v>
      </c>
      <c r="I81" s="9">
        <v>-1</v>
      </c>
      <c r="J81" s="9">
        <v>7</v>
      </c>
      <c r="L81" s="22" t="s">
        <v>6093</v>
      </c>
      <c r="M81" s="24" t="s">
        <v>5470</v>
      </c>
      <c r="N81" s="24"/>
    </row>
    <row r="82" spans="1:14" x14ac:dyDescent="0.25">
      <c r="A82" t="s">
        <v>2217</v>
      </c>
      <c r="D82" s="9">
        <f>Parameters!$D$19</f>
        <v>1E-4</v>
      </c>
      <c r="E82" s="9">
        <f>Parameters!$E$19</f>
        <v>1</v>
      </c>
      <c r="H82" s="9" t="s">
        <v>2218</v>
      </c>
      <c r="I82" s="9">
        <v>0</v>
      </c>
      <c r="J82" s="9">
        <v>8</v>
      </c>
      <c r="L82" s="22" t="s">
        <v>6094</v>
      </c>
      <c r="M82" s="24" t="s">
        <v>6095</v>
      </c>
      <c r="N82" s="24"/>
    </row>
    <row r="83" spans="1:14" x14ac:dyDescent="0.25">
      <c r="A83" t="s">
        <v>2219</v>
      </c>
      <c r="D83" s="9">
        <f>Parameters!$D$19</f>
        <v>1E-4</v>
      </c>
      <c r="E83" s="9">
        <f>Parameters!$E$19</f>
        <v>1</v>
      </c>
      <c r="H83" s="9" t="s">
        <v>2220</v>
      </c>
      <c r="I83" s="9">
        <v>-1</v>
      </c>
      <c r="J83" s="9">
        <v>5</v>
      </c>
      <c r="L83" s="22" t="s">
        <v>6096</v>
      </c>
      <c r="M83" s="24" t="s">
        <v>6097</v>
      </c>
      <c r="N83" s="24"/>
    </row>
    <row r="84" spans="1:14" x14ac:dyDescent="0.25">
      <c r="A84" t="s">
        <v>2221</v>
      </c>
      <c r="D84" s="9">
        <f>Parameters!$D$19</f>
        <v>1E-4</v>
      </c>
      <c r="E84" s="9">
        <f>Parameters!$E$19</f>
        <v>1</v>
      </c>
      <c r="H84" s="9" t="s">
        <v>2222</v>
      </c>
      <c r="I84" s="9">
        <v>0</v>
      </c>
      <c r="J84" s="9">
        <v>9</v>
      </c>
      <c r="L84" s="22" t="s">
        <v>6098</v>
      </c>
      <c r="M84" s="24" t="s">
        <v>6099</v>
      </c>
      <c r="N84" s="24"/>
    </row>
    <row r="85" spans="1:14" x14ac:dyDescent="0.25">
      <c r="A85" t="s">
        <v>2223</v>
      </c>
      <c r="D85" s="9">
        <f>Parameters!$D$19</f>
        <v>1E-4</v>
      </c>
      <c r="E85" s="9">
        <f>Parameters!$E$19</f>
        <v>1</v>
      </c>
      <c r="H85" s="9" t="s">
        <v>2224</v>
      </c>
      <c r="I85" s="9">
        <v>0</v>
      </c>
      <c r="J85" s="9">
        <v>9</v>
      </c>
      <c r="L85" s="22" t="s">
        <v>6100</v>
      </c>
      <c r="M85" s="24" t="s">
        <v>6101</v>
      </c>
      <c r="N85" s="24"/>
    </row>
    <row r="86" spans="1:14" x14ac:dyDescent="0.25">
      <c r="A86" t="s">
        <v>2225</v>
      </c>
      <c r="D86" s="9">
        <f>Parameters!$D$19</f>
        <v>1E-4</v>
      </c>
      <c r="E86" s="9">
        <f>Parameters!$E$19</f>
        <v>1</v>
      </c>
      <c r="H86" s="9" t="s">
        <v>2226</v>
      </c>
      <c r="I86" s="9">
        <v>-1</v>
      </c>
      <c r="J86" s="9">
        <v>9</v>
      </c>
      <c r="L86" s="22" t="s">
        <v>5379</v>
      </c>
      <c r="M86" s="23" t="s">
        <v>5365</v>
      </c>
    </row>
    <row r="87" spans="1:14" x14ac:dyDescent="0.25">
      <c r="A87" t="s">
        <v>2227</v>
      </c>
      <c r="D87" s="9">
        <f>Parameters!$D$19</f>
        <v>1E-4</v>
      </c>
      <c r="E87" s="9">
        <f>Parameters!$E$19</f>
        <v>1</v>
      </c>
      <c r="H87" s="9" t="s">
        <v>2228</v>
      </c>
      <c r="I87" s="9">
        <v>-2</v>
      </c>
      <c r="J87" s="9">
        <v>8</v>
      </c>
      <c r="L87" s="22" t="s">
        <v>6102</v>
      </c>
      <c r="M87" s="24" t="s">
        <v>6103</v>
      </c>
      <c r="N87" s="24"/>
    </row>
    <row r="88" spans="1:14" x14ac:dyDescent="0.25">
      <c r="A88" t="s">
        <v>2229</v>
      </c>
      <c r="D88" s="9">
        <f>Parameters!$D$19</f>
        <v>1E-4</v>
      </c>
      <c r="E88" s="9">
        <f>Parameters!$E$19</f>
        <v>1</v>
      </c>
      <c r="H88" s="9" t="s">
        <v>2230</v>
      </c>
      <c r="I88" s="9">
        <v>-2</v>
      </c>
      <c r="J88" s="9">
        <v>6</v>
      </c>
      <c r="L88" s="22" t="s">
        <v>5380</v>
      </c>
      <c r="M88" s="23" t="s">
        <v>5381</v>
      </c>
    </row>
    <row r="89" spans="1:14" x14ac:dyDescent="0.25">
      <c r="A89" t="s">
        <v>2231</v>
      </c>
      <c r="D89" s="9">
        <f>Parameters!$D$19</f>
        <v>1E-4</v>
      </c>
      <c r="E89" s="9">
        <f>Parameters!$E$19</f>
        <v>1</v>
      </c>
      <c r="H89" s="9" t="s">
        <v>2232</v>
      </c>
      <c r="I89" s="9">
        <v>-3</v>
      </c>
      <c r="J89" s="9">
        <v>6</v>
      </c>
      <c r="L89" s="22" t="s">
        <v>6104</v>
      </c>
      <c r="M89" s="24" t="s">
        <v>6105</v>
      </c>
      <c r="N89" s="24"/>
    </row>
    <row r="90" spans="1:14" x14ac:dyDescent="0.25">
      <c r="A90" t="s">
        <v>2233</v>
      </c>
      <c r="D90" s="9">
        <f>Parameters!$D$19</f>
        <v>1E-4</v>
      </c>
      <c r="E90" s="9">
        <f>Parameters!$E$19</f>
        <v>1</v>
      </c>
      <c r="H90" s="9" t="s">
        <v>2234</v>
      </c>
      <c r="I90" s="9">
        <v>-3</v>
      </c>
      <c r="J90" s="9">
        <v>15</v>
      </c>
      <c r="L90" s="22" t="s">
        <v>5382</v>
      </c>
      <c r="M90" s="23" t="s">
        <v>5383</v>
      </c>
    </row>
    <row r="91" spans="1:14" x14ac:dyDescent="0.25">
      <c r="A91" t="s">
        <v>2235</v>
      </c>
      <c r="D91" s="9">
        <f>Parameters!$D$19</f>
        <v>1E-4</v>
      </c>
      <c r="E91" s="9">
        <f>Parameters!$E$19</f>
        <v>1</v>
      </c>
      <c r="H91" s="9" t="s">
        <v>2236</v>
      </c>
      <c r="I91" s="9">
        <v>-3</v>
      </c>
      <c r="J91" s="9">
        <v>20</v>
      </c>
      <c r="L91" s="22" t="s">
        <v>5384</v>
      </c>
      <c r="M91" s="23" t="s">
        <v>5385</v>
      </c>
    </row>
    <row r="92" spans="1:14" x14ac:dyDescent="0.25">
      <c r="A92" t="s">
        <v>2237</v>
      </c>
      <c r="D92" s="9">
        <f>Parameters!$D$19</f>
        <v>1E-4</v>
      </c>
      <c r="E92" s="9">
        <f>Parameters!$E$19</f>
        <v>1</v>
      </c>
      <c r="H92" s="9" t="s">
        <v>2238</v>
      </c>
      <c r="I92" s="9">
        <v>0</v>
      </c>
      <c r="J92" s="9">
        <v>16</v>
      </c>
      <c r="L92" s="22" t="s">
        <v>5386</v>
      </c>
      <c r="M92" s="23" t="s">
        <v>5387</v>
      </c>
    </row>
    <row r="93" spans="1:14" x14ac:dyDescent="0.25">
      <c r="A93" t="s">
        <v>2239</v>
      </c>
      <c r="D93" s="9">
        <f>Parameters!$D$19</f>
        <v>1E-4</v>
      </c>
      <c r="E93" s="9">
        <f>Parameters!$E$19</f>
        <v>1</v>
      </c>
      <c r="H93" s="9" t="s">
        <v>2240</v>
      </c>
      <c r="I93" s="9">
        <v>-3</v>
      </c>
      <c r="J93" s="9">
        <v>11</v>
      </c>
      <c r="L93" s="22" t="s">
        <v>5388</v>
      </c>
      <c r="M93" s="23" t="s">
        <v>5389</v>
      </c>
    </row>
    <row r="94" spans="1:14" x14ac:dyDescent="0.25">
      <c r="A94" t="s">
        <v>2241</v>
      </c>
      <c r="D94" s="9">
        <f>Parameters!$D$19</f>
        <v>1E-4</v>
      </c>
      <c r="E94" s="9">
        <f>Parameters!$E$19</f>
        <v>1</v>
      </c>
      <c r="H94" s="9" t="s">
        <v>2242</v>
      </c>
      <c r="I94" s="9">
        <v>0</v>
      </c>
      <c r="J94" s="9">
        <v>9</v>
      </c>
      <c r="L94" s="22" t="s">
        <v>6106</v>
      </c>
      <c r="M94" s="24" t="s">
        <v>5676</v>
      </c>
      <c r="N94" s="24"/>
    </row>
    <row r="95" spans="1:14" x14ac:dyDescent="0.25">
      <c r="A95" t="s">
        <v>2243</v>
      </c>
      <c r="D95" s="9">
        <f>Parameters!$D$19</f>
        <v>1E-4</v>
      </c>
      <c r="E95" s="9">
        <f>Parameters!$E$19</f>
        <v>1</v>
      </c>
      <c r="H95" s="9" t="s">
        <v>2244</v>
      </c>
      <c r="I95" s="9">
        <v>-2</v>
      </c>
      <c r="J95" s="9">
        <v>15</v>
      </c>
      <c r="L95" s="22" t="s">
        <v>5390</v>
      </c>
      <c r="M95" s="23" t="s">
        <v>5391</v>
      </c>
    </row>
    <row r="96" spans="1:14" x14ac:dyDescent="0.25">
      <c r="A96" t="s">
        <v>2245</v>
      </c>
      <c r="D96" s="9">
        <f>Parameters!$D$19</f>
        <v>1E-4</v>
      </c>
      <c r="E96" s="9">
        <f>Parameters!$E$19</f>
        <v>1</v>
      </c>
      <c r="H96" s="9" t="s">
        <v>2246</v>
      </c>
      <c r="I96" s="9">
        <v>-2</v>
      </c>
      <c r="J96" s="9">
        <v>13</v>
      </c>
      <c r="L96" s="22" t="s">
        <v>5392</v>
      </c>
      <c r="M96" s="23" t="s">
        <v>5393</v>
      </c>
    </row>
    <row r="97" spans="1:14" x14ac:dyDescent="0.25">
      <c r="A97" t="s">
        <v>2247</v>
      </c>
      <c r="D97" s="9">
        <f>Parameters!$D$19</f>
        <v>1E-4</v>
      </c>
      <c r="E97" s="9">
        <f>Parameters!$E$19</f>
        <v>1</v>
      </c>
      <c r="H97" s="9" t="s">
        <v>2248</v>
      </c>
      <c r="I97" s="9">
        <v>-3</v>
      </c>
      <c r="J97" s="9">
        <v>11</v>
      </c>
      <c r="L97" s="22" t="s">
        <v>5394</v>
      </c>
      <c r="M97" s="23" t="s">
        <v>5389</v>
      </c>
    </row>
    <row r="98" spans="1:14" x14ac:dyDescent="0.25">
      <c r="A98" t="s">
        <v>2249</v>
      </c>
      <c r="D98" s="9">
        <f>Parameters!$D$19</f>
        <v>1E-4</v>
      </c>
      <c r="E98" s="9">
        <f>Parameters!$E$19</f>
        <v>1</v>
      </c>
      <c r="H98" s="9" t="s">
        <v>2250</v>
      </c>
      <c r="I98" s="9">
        <v>-1</v>
      </c>
      <c r="J98" s="9">
        <v>9</v>
      </c>
      <c r="L98" s="22" t="s">
        <v>5395</v>
      </c>
      <c r="M98" s="23" t="s">
        <v>5319</v>
      </c>
    </row>
    <row r="99" spans="1:14" x14ac:dyDescent="0.25">
      <c r="A99" t="s">
        <v>2251</v>
      </c>
      <c r="D99" s="9">
        <f>Parameters!$D$19</f>
        <v>1E-4</v>
      </c>
      <c r="E99" s="9">
        <f>Parameters!$E$19</f>
        <v>1</v>
      </c>
      <c r="H99" s="9" t="s">
        <v>2252</v>
      </c>
      <c r="I99" s="9">
        <v>-2</v>
      </c>
      <c r="J99" s="9">
        <v>6</v>
      </c>
      <c r="L99" s="22" t="s">
        <v>6107</v>
      </c>
      <c r="M99" s="24" t="s">
        <v>6108</v>
      </c>
      <c r="N99" s="24"/>
    </row>
    <row r="100" spans="1:14" x14ac:dyDescent="0.25">
      <c r="A100" t="s">
        <v>2253</v>
      </c>
      <c r="D100" s="9">
        <f>Parameters!$D$19</f>
        <v>1E-4</v>
      </c>
      <c r="E100" s="9">
        <f>Parameters!$E$19</f>
        <v>1</v>
      </c>
      <c r="H100" s="9" t="s">
        <v>2254</v>
      </c>
      <c r="I100" s="9">
        <v>-2</v>
      </c>
      <c r="J100" s="9">
        <v>9</v>
      </c>
      <c r="L100" s="22" t="s">
        <v>5396</v>
      </c>
      <c r="M100" s="23" t="s">
        <v>5397</v>
      </c>
    </row>
    <row r="101" spans="1:14" x14ac:dyDescent="0.25">
      <c r="A101" t="s">
        <v>2255</v>
      </c>
      <c r="D101" s="9">
        <f>Parameters!$D$19</f>
        <v>1E-4</v>
      </c>
      <c r="E101" s="9">
        <f>Parameters!$E$19</f>
        <v>1</v>
      </c>
      <c r="H101" s="9" t="s">
        <v>2256</v>
      </c>
      <c r="I101" s="9">
        <v>-2</v>
      </c>
      <c r="J101" s="9">
        <v>9</v>
      </c>
      <c r="L101" s="22" t="s">
        <v>5398</v>
      </c>
      <c r="M101" s="23" t="s">
        <v>5397</v>
      </c>
    </row>
    <row r="102" spans="1:14" x14ac:dyDescent="0.25">
      <c r="A102" t="s">
        <v>2257</v>
      </c>
      <c r="D102" s="9">
        <f>Parameters!$D$19</f>
        <v>1E-4</v>
      </c>
      <c r="E102" s="9">
        <f>Parameters!$E$19</f>
        <v>1</v>
      </c>
      <c r="H102" s="9" t="s">
        <v>2258</v>
      </c>
      <c r="I102" s="9">
        <v>0</v>
      </c>
      <c r="J102" s="9">
        <v>15</v>
      </c>
      <c r="L102" s="22" t="s">
        <v>5399</v>
      </c>
      <c r="M102" s="23" t="s">
        <v>5400</v>
      </c>
    </row>
    <row r="103" spans="1:14" x14ac:dyDescent="0.25">
      <c r="A103" t="s">
        <v>2259</v>
      </c>
      <c r="D103" s="9">
        <f>Parameters!$D$19</f>
        <v>1E-4</v>
      </c>
      <c r="E103" s="9">
        <f>Parameters!$E$19</f>
        <v>1</v>
      </c>
      <c r="H103" s="9" t="s">
        <v>2260</v>
      </c>
      <c r="I103" s="9">
        <v>-1</v>
      </c>
      <c r="J103" s="9">
        <v>24</v>
      </c>
      <c r="L103" s="22" t="s">
        <v>5401</v>
      </c>
      <c r="M103" s="23" t="s">
        <v>5402</v>
      </c>
    </row>
    <row r="104" spans="1:14" x14ac:dyDescent="0.25">
      <c r="A104" t="s">
        <v>2261</v>
      </c>
      <c r="D104" s="9">
        <f>Parameters!$D$19</f>
        <v>1E-4</v>
      </c>
      <c r="E104" s="9">
        <f>Parameters!$E$19</f>
        <v>1</v>
      </c>
      <c r="H104" s="9" t="s">
        <v>2262</v>
      </c>
      <c r="I104" s="9">
        <v>0</v>
      </c>
      <c r="J104" s="9">
        <v>12</v>
      </c>
      <c r="L104" s="22" t="s">
        <v>5403</v>
      </c>
      <c r="M104" s="23" t="s">
        <v>5404</v>
      </c>
    </row>
    <row r="105" spans="1:14" x14ac:dyDescent="0.25">
      <c r="A105" t="s">
        <v>2263</v>
      </c>
      <c r="D105" s="9">
        <f>Parameters!$D$19</f>
        <v>1E-4</v>
      </c>
      <c r="E105" s="9">
        <f>Parameters!$E$19</f>
        <v>1</v>
      </c>
      <c r="H105" s="9" t="s">
        <v>2264</v>
      </c>
      <c r="I105" s="9">
        <v>-2</v>
      </c>
      <c r="J105" s="9">
        <v>17</v>
      </c>
      <c r="L105" s="22" t="s">
        <v>6109</v>
      </c>
      <c r="M105" s="24" t="s">
        <v>6110</v>
      </c>
      <c r="N105" s="24"/>
    </row>
    <row r="106" spans="1:14" x14ac:dyDescent="0.25">
      <c r="A106" t="s">
        <v>2265</v>
      </c>
      <c r="D106" s="9">
        <f>Parameters!$D$19</f>
        <v>1E-4</v>
      </c>
      <c r="E106" s="9">
        <f>Parameters!$E$19</f>
        <v>1</v>
      </c>
      <c r="H106" s="9" t="s">
        <v>2266</v>
      </c>
      <c r="I106" s="9">
        <v>0</v>
      </c>
      <c r="J106" s="9">
        <v>9</v>
      </c>
      <c r="L106" s="22" t="s">
        <v>5405</v>
      </c>
      <c r="M106" s="23" t="s">
        <v>5406</v>
      </c>
    </row>
    <row r="107" spans="1:14" x14ac:dyDescent="0.25">
      <c r="A107" t="s">
        <v>2267</v>
      </c>
      <c r="D107" s="9">
        <f>Parameters!$D$19</f>
        <v>1E-4</v>
      </c>
      <c r="E107" s="9">
        <f>Parameters!$E$19</f>
        <v>1</v>
      </c>
      <c r="H107" s="9" t="s">
        <v>2268</v>
      </c>
      <c r="I107" s="9">
        <v>-3</v>
      </c>
      <c r="J107" s="9">
        <v>8</v>
      </c>
      <c r="L107" s="22" t="s">
        <v>5407</v>
      </c>
      <c r="M107" s="23" t="s">
        <v>5408</v>
      </c>
    </row>
    <row r="108" spans="1:14" x14ac:dyDescent="0.25">
      <c r="A108" t="s">
        <v>2269</v>
      </c>
      <c r="D108" s="9">
        <f>Parameters!$D$19</f>
        <v>1E-4</v>
      </c>
      <c r="E108" s="9">
        <f>Parameters!$E$19</f>
        <v>1</v>
      </c>
      <c r="H108" s="9" t="s">
        <v>2270</v>
      </c>
      <c r="I108" s="9">
        <v>-3</v>
      </c>
      <c r="J108" s="9">
        <v>10</v>
      </c>
      <c r="L108" s="22" t="s">
        <v>5409</v>
      </c>
      <c r="M108" s="23" t="s">
        <v>5410</v>
      </c>
    </row>
    <row r="109" spans="1:14" x14ac:dyDescent="0.25">
      <c r="A109" t="s">
        <v>2271</v>
      </c>
      <c r="D109" s="9">
        <f>Parameters!$D$19</f>
        <v>1E-4</v>
      </c>
      <c r="E109" s="9">
        <f>Parameters!$E$19</f>
        <v>1</v>
      </c>
      <c r="H109" s="9" t="s">
        <v>2272</v>
      </c>
      <c r="I109" s="9">
        <v>-2</v>
      </c>
      <c r="J109" s="9">
        <v>9</v>
      </c>
      <c r="L109" s="22" t="s">
        <v>5411</v>
      </c>
      <c r="M109" s="23" t="s">
        <v>5412</v>
      </c>
    </row>
    <row r="110" spans="1:14" x14ac:dyDescent="0.25">
      <c r="A110" t="s">
        <v>2273</v>
      </c>
      <c r="D110" s="9">
        <f>Parameters!$D$19</f>
        <v>1E-4</v>
      </c>
      <c r="E110" s="9">
        <f>Parameters!$E$19</f>
        <v>1</v>
      </c>
      <c r="H110" s="9" t="s">
        <v>2274</v>
      </c>
      <c r="I110" s="9">
        <v>0</v>
      </c>
      <c r="J110" s="9">
        <v>17</v>
      </c>
      <c r="L110" s="22" t="s">
        <v>6111</v>
      </c>
      <c r="M110" s="24" t="s">
        <v>6112</v>
      </c>
      <c r="N110" s="24"/>
    </row>
    <row r="111" spans="1:14" x14ac:dyDescent="0.25">
      <c r="A111" t="s">
        <v>2279</v>
      </c>
      <c r="D111" s="9">
        <f>Parameters!$D$19</f>
        <v>1E-4</v>
      </c>
      <c r="E111" s="9">
        <f>Parameters!$E$19</f>
        <v>1</v>
      </c>
      <c r="H111" s="9" t="s">
        <v>2280</v>
      </c>
      <c r="I111" s="9">
        <v>1</v>
      </c>
      <c r="J111" s="9">
        <v>6</v>
      </c>
      <c r="L111" s="22" t="s">
        <v>6113</v>
      </c>
      <c r="M111" s="24" t="s">
        <v>6114</v>
      </c>
      <c r="N111" s="24"/>
    </row>
    <row r="112" spans="1:14" x14ac:dyDescent="0.25">
      <c r="A112" t="s">
        <v>2281</v>
      </c>
      <c r="D112" s="9">
        <f>Parameters!$D$19</f>
        <v>1E-4</v>
      </c>
      <c r="E112" s="9">
        <f>Parameters!$E$19</f>
        <v>1</v>
      </c>
      <c r="H112" s="9" t="s">
        <v>2282</v>
      </c>
      <c r="I112" s="9">
        <v>-4</v>
      </c>
      <c r="J112" s="9">
        <v>36</v>
      </c>
      <c r="L112" s="22" t="s">
        <v>6115</v>
      </c>
      <c r="M112" s="24" t="s">
        <v>6116</v>
      </c>
      <c r="N112" s="24"/>
    </row>
    <row r="113" spans="1:15" x14ac:dyDescent="0.25">
      <c r="A113" t="s">
        <v>2283</v>
      </c>
      <c r="B113" s="9">
        <f>Parameters!$B$19</f>
        <v>1E-4</v>
      </c>
      <c r="C113" s="9">
        <f>Parameters!$C$19</f>
        <v>1</v>
      </c>
      <c r="D113" s="9">
        <f>Parameters!$D$19</f>
        <v>1E-4</v>
      </c>
      <c r="E113" s="9">
        <f>Parameters!$E$19</f>
        <v>1</v>
      </c>
      <c r="H113" s="9" t="s">
        <v>2284</v>
      </c>
      <c r="I113" s="9">
        <v>-1</v>
      </c>
      <c r="J113" s="9">
        <v>3</v>
      </c>
      <c r="L113" s="22" t="s">
        <v>5413</v>
      </c>
      <c r="M113" s="23" t="s">
        <v>5414</v>
      </c>
    </row>
    <row r="114" spans="1:15" x14ac:dyDescent="0.25">
      <c r="A114" t="s">
        <v>2287</v>
      </c>
      <c r="B114" s="9">
        <f>Parameters!$B$19</f>
        <v>1E-4</v>
      </c>
      <c r="C114" s="9">
        <f>Parameters!$C$19</f>
        <v>1</v>
      </c>
      <c r="D114" s="9">
        <f>Parameters!$D$19</f>
        <v>1E-4</v>
      </c>
      <c r="E114" s="9">
        <f>Parameters!$E$19</f>
        <v>1</v>
      </c>
      <c r="H114" s="9" t="s">
        <v>2288</v>
      </c>
      <c r="I114" s="9">
        <v>-1</v>
      </c>
      <c r="J114" s="9">
        <v>5</v>
      </c>
      <c r="L114" s="22" t="s">
        <v>5415</v>
      </c>
      <c r="M114" s="23" t="s">
        <v>5340</v>
      </c>
    </row>
    <row r="115" spans="1:15" x14ac:dyDescent="0.25">
      <c r="A115" t="s">
        <v>2285</v>
      </c>
      <c r="D115" s="9">
        <f>Parameters!$D$19</f>
        <v>1E-4</v>
      </c>
      <c r="E115" s="9">
        <f>Parameters!$E$19</f>
        <v>1</v>
      </c>
      <c r="H115" s="9" t="s">
        <v>2286</v>
      </c>
      <c r="I115" s="9">
        <v>-1</v>
      </c>
      <c r="J115" s="9">
        <v>23</v>
      </c>
      <c r="L115" s="22" t="s">
        <v>5416</v>
      </c>
      <c r="M115" s="23" t="s">
        <v>5417</v>
      </c>
    </row>
    <row r="116" spans="1:15" x14ac:dyDescent="0.25">
      <c r="A116" t="s">
        <v>2289</v>
      </c>
      <c r="B116" s="9">
        <f>Parameters!$B$19</f>
        <v>1E-4</v>
      </c>
      <c r="C116" s="9">
        <f>Parameters!$C$19</f>
        <v>1</v>
      </c>
      <c r="D116" s="9">
        <f>Parameters!$D$19</f>
        <v>1E-4</v>
      </c>
      <c r="E116" s="9">
        <f>Parameters!$E$19</f>
        <v>1</v>
      </c>
      <c r="H116" s="9" t="s">
        <v>2290</v>
      </c>
      <c r="I116" s="9">
        <v>0</v>
      </c>
      <c r="J116" s="9">
        <v>4</v>
      </c>
      <c r="L116" s="22" t="s">
        <v>5418</v>
      </c>
      <c r="M116" s="23" t="s">
        <v>5419</v>
      </c>
    </row>
    <row r="117" spans="1:15" x14ac:dyDescent="0.25">
      <c r="A117" t="s">
        <v>2291</v>
      </c>
      <c r="D117" s="9">
        <f>Parameters!$D$19</f>
        <v>1E-4</v>
      </c>
      <c r="E117" s="9">
        <f>Parameters!$E$19</f>
        <v>1</v>
      </c>
      <c r="H117" s="9" t="s">
        <v>2292</v>
      </c>
      <c r="I117" s="9">
        <v>-4</v>
      </c>
      <c r="J117" s="9">
        <v>34</v>
      </c>
      <c r="L117" s="22" t="s">
        <v>5420</v>
      </c>
      <c r="M117" s="23" t="s">
        <v>5421</v>
      </c>
    </row>
    <row r="118" spans="1:15" x14ac:dyDescent="0.25">
      <c r="A118" t="s">
        <v>2293</v>
      </c>
      <c r="D118" s="9">
        <f>Parameters!$D$19</f>
        <v>1E-4</v>
      </c>
      <c r="E118" s="9">
        <f>Parameters!$E$19</f>
        <v>1</v>
      </c>
      <c r="H118" s="9" t="s">
        <v>2294</v>
      </c>
      <c r="I118" s="9">
        <v>-3</v>
      </c>
      <c r="J118" s="9">
        <v>9</v>
      </c>
      <c r="L118" s="22" t="s">
        <v>5422</v>
      </c>
      <c r="M118" s="23" t="s">
        <v>5423</v>
      </c>
    </row>
    <row r="119" spans="1:15" x14ac:dyDescent="0.25">
      <c r="A119" t="s">
        <v>2295</v>
      </c>
      <c r="D119" s="9">
        <f>Parameters!$D$19</f>
        <v>1E-4</v>
      </c>
      <c r="E119" s="9">
        <f>Parameters!$E$19</f>
        <v>1</v>
      </c>
      <c r="H119" s="9" t="s">
        <v>2296</v>
      </c>
      <c r="I119" s="9">
        <v>-1</v>
      </c>
      <c r="J119" s="9">
        <v>10</v>
      </c>
      <c r="L119" s="22" t="s">
        <v>5424</v>
      </c>
      <c r="M119" s="23" t="s">
        <v>5425</v>
      </c>
    </row>
    <row r="120" spans="1:15" x14ac:dyDescent="0.25">
      <c r="A120" t="s">
        <v>2297</v>
      </c>
      <c r="B120" s="9">
        <f>Parameters!$B$19</f>
        <v>1E-4</v>
      </c>
      <c r="C120" s="9">
        <f>Parameters!$C$19</f>
        <v>1</v>
      </c>
      <c r="D120" s="9">
        <f>Parameters!$D$19</f>
        <v>1E-4</v>
      </c>
      <c r="E120" s="9">
        <f>Parameters!$E$19</f>
        <v>1</v>
      </c>
      <c r="H120" s="9" t="s">
        <v>2298</v>
      </c>
      <c r="I120" s="9">
        <v>0</v>
      </c>
      <c r="J120" s="9">
        <v>15</v>
      </c>
      <c r="L120" s="22" t="s">
        <v>6117</v>
      </c>
      <c r="M120" s="24" t="s">
        <v>6118</v>
      </c>
      <c r="N120" s="24"/>
      <c r="O120" s="27"/>
    </row>
    <row r="121" spans="1:15" x14ac:dyDescent="0.25">
      <c r="A121" t="s">
        <v>2299</v>
      </c>
      <c r="D121" s="9">
        <f>Parameters!$D$19</f>
        <v>1E-4</v>
      </c>
      <c r="E121" s="9">
        <f>Parameters!$E$19</f>
        <v>1</v>
      </c>
      <c r="H121" s="9" t="s">
        <v>2300</v>
      </c>
      <c r="I121" s="9">
        <v>-2</v>
      </c>
      <c r="J121" s="9">
        <v>14</v>
      </c>
      <c r="L121" s="22" t="s">
        <v>5426</v>
      </c>
      <c r="M121" s="23" t="s">
        <v>5427</v>
      </c>
    </row>
    <row r="122" spans="1:15" x14ac:dyDescent="0.25">
      <c r="A122" t="s">
        <v>2301</v>
      </c>
      <c r="D122" s="9">
        <f>Parameters!$D$19</f>
        <v>1E-4</v>
      </c>
      <c r="E122" s="9">
        <f>Parameters!$E$19</f>
        <v>1</v>
      </c>
      <c r="H122" s="9" t="s">
        <v>2302</v>
      </c>
      <c r="I122" s="9">
        <v>-2</v>
      </c>
      <c r="J122" s="9">
        <v>14</v>
      </c>
      <c r="L122" s="22" t="s">
        <v>6119</v>
      </c>
      <c r="M122" s="24" t="s">
        <v>5427</v>
      </c>
      <c r="N122" s="24"/>
    </row>
    <row r="123" spans="1:15" x14ac:dyDescent="0.25">
      <c r="A123" t="s">
        <v>2303</v>
      </c>
      <c r="D123" s="9">
        <f>Parameters!$D$19</f>
        <v>1E-4</v>
      </c>
      <c r="E123" s="9">
        <f>Parameters!$E$19</f>
        <v>1</v>
      </c>
      <c r="H123" s="9" t="s">
        <v>2304</v>
      </c>
      <c r="I123" s="9">
        <v>-2</v>
      </c>
      <c r="J123" s="9">
        <v>9</v>
      </c>
      <c r="L123" s="22" t="s">
        <v>5428</v>
      </c>
      <c r="M123" s="23" t="s">
        <v>5429</v>
      </c>
    </row>
    <row r="124" spans="1:15" x14ac:dyDescent="0.25">
      <c r="A124" t="s">
        <v>2305</v>
      </c>
      <c r="B124" s="9">
        <f>Parameters!$B$19</f>
        <v>1E-4</v>
      </c>
      <c r="C124" s="9">
        <f>Parameters!$C$19</f>
        <v>1</v>
      </c>
      <c r="D124" s="9">
        <f>Parameters!$D$19</f>
        <v>1E-4</v>
      </c>
      <c r="E124" s="9">
        <f>Parameters!$E$19</f>
        <v>1</v>
      </c>
      <c r="H124" s="9" t="s">
        <v>2306</v>
      </c>
      <c r="I124" s="9">
        <v>0</v>
      </c>
      <c r="J124" s="9">
        <v>15</v>
      </c>
      <c r="L124" s="22" t="s">
        <v>6120</v>
      </c>
      <c r="M124" s="24" t="s">
        <v>6118</v>
      </c>
      <c r="N124" s="24"/>
    </row>
    <row r="125" spans="1:15" x14ac:dyDescent="0.25">
      <c r="A125" t="s">
        <v>2307</v>
      </c>
      <c r="D125" s="9">
        <f>Parameters!$D$19</f>
        <v>1E-4</v>
      </c>
      <c r="E125" s="9">
        <f>Parameters!$E$19</f>
        <v>1</v>
      </c>
      <c r="H125" s="9" t="s">
        <v>2308</v>
      </c>
      <c r="I125" s="9">
        <v>-2</v>
      </c>
      <c r="J125" s="9">
        <v>14</v>
      </c>
      <c r="L125" s="22" t="s">
        <v>6121</v>
      </c>
      <c r="M125" s="24" t="s">
        <v>5427</v>
      </c>
      <c r="N125" s="24"/>
    </row>
    <row r="126" spans="1:15" x14ac:dyDescent="0.25">
      <c r="A126" t="s">
        <v>2309</v>
      </c>
      <c r="B126" s="9">
        <f>Parameters!$B$19</f>
        <v>1E-4</v>
      </c>
      <c r="C126" s="9">
        <f>Parameters!$C$19</f>
        <v>1</v>
      </c>
      <c r="D126" s="9">
        <f>Parameters!$D$19</f>
        <v>1E-4</v>
      </c>
      <c r="E126" s="9">
        <f>Parameters!$E$19</f>
        <v>1</v>
      </c>
      <c r="H126" s="9" t="s">
        <v>2310</v>
      </c>
      <c r="I126" s="9">
        <v>-1</v>
      </c>
      <c r="J126" s="9">
        <v>18</v>
      </c>
      <c r="L126" s="22" t="s">
        <v>5430</v>
      </c>
      <c r="M126" s="23" t="s">
        <v>5431</v>
      </c>
    </row>
    <row r="127" spans="1:15" x14ac:dyDescent="0.25">
      <c r="A127" t="s">
        <v>2313</v>
      </c>
      <c r="D127" s="9">
        <f>Parameters!$D$19</f>
        <v>1E-4</v>
      </c>
      <c r="E127" s="9">
        <f>Parameters!$E$19</f>
        <v>1</v>
      </c>
      <c r="H127" s="9" t="s">
        <v>2314</v>
      </c>
      <c r="I127" s="9">
        <v>-2</v>
      </c>
      <c r="J127" s="9">
        <v>6</v>
      </c>
      <c r="L127" s="22" t="s">
        <v>6122</v>
      </c>
      <c r="M127" s="24" t="s">
        <v>6123</v>
      </c>
      <c r="N127" s="24"/>
    </row>
    <row r="128" spans="1:15" x14ac:dyDescent="0.25">
      <c r="A128" t="s">
        <v>2311</v>
      </c>
      <c r="D128" s="9">
        <f>Parameters!$D$19</f>
        <v>1E-4</v>
      </c>
      <c r="E128" s="9">
        <f>Parameters!$E$19</f>
        <v>1</v>
      </c>
      <c r="H128" s="9" t="s">
        <v>2312</v>
      </c>
      <c r="I128" s="9">
        <v>-3</v>
      </c>
      <c r="J128" s="9">
        <v>3</v>
      </c>
      <c r="L128" s="22" t="s">
        <v>6124</v>
      </c>
      <c r="M128" s="24" t="s">
        <v>6125</v>
      </c>
      <c r="N128" s="24"/>
    </row>
    <row r="129" spans="1:26" x14ac:dyDescent="0.25">
      <c r="A129" t="s">
        <v>2315</v>
      </c>
      <c r="D129" s="9">
        <f>Parameters!$D$19</f>
        <v>1E-4</v>
      </c>
      <c r="E129" s="9">
        <f>Parameters!$E$19</f>
        <v>1</v>
      </c>
      <c r="H129" s="9" t="s">
        <v>2316</v>
      </c>
      <c r="I129" s="9">
        <v>0</v>
      </c>
      <c r="J129" s="9">
        <v>14</v>
      </c>
      <c r="L129" s="22" t="s">
        <v>5432</v>
      </c>
      <c r="M129" s="23" t="s">
        <v>5433</v>
      </c>
    </row>
    <row r="130" spans="1:26" x14ac:dyDescent="0.25">
      <c r="A130" t="s">
        <v>2275</v>
      </c>
      <c r="D130" s="9">
        <f>Parameters!$D$19</f>
        <v>1E-4</v>
      </c>
      <c r="E130" s="9">
        <f>Parameters!$E$19</f>
        <v>1</v>
      </c>
      <c r="H130" s="9" t="s">
        <v>2276</v>
      </c>
      <c r="I130" s="9">
        <v>-1</v>
      </c>
      <c r="J130" s="9">
        <v>1</v>
      </c>
      <c r="L130" s="22" t="s">
        <v>5434</v>
      </c>
      <c r="M130" s="23" t="s">
        <v>5435</v>
      </c>
    </row>
    <row r="131" spans="1:26" x14ac:dyDescent="0.25">
      <c r="A131" t="s">
        <v>2317</v>
      </c>
      <c r="D131" s="9">
        <f>Parameters!$D$19</f>
        <v>1E-4</v>
      </c>
      <c r="E131" s="9">
        <f>Parameters!$E$19</f>
        <v>1</v>
      </c>
      <c r="H131" s="9" t="s">
        <v>2318</v>
      </c>
      <c r="I131" s="9">
        <v>0</v>
      </c>
      <c r="J131" s="9">
        <v>9</v>
      </c>
      <c r="L131" s="22" t="s">
        <v>5436</v>
      </c>
      <c r="M131" s="23" t="s">
        <v>5437</v>
      </c>
    </row>
    <row r="132" spans="1:26" x14ac:dyDescent="0.25">
      <c r="A132" t="s">
        <v>2319</v>
      </c>
      <c r="D132" s="9">
        <f>Parameters!$D$19</f>
        <v>1E-4</v>
      </c>
      <c r="E132" s="9">
        <f>Parameters!$E$19</f>
        <v>1</v>
      </c>
      <c r="H132" s="9" t="s">
        <v>2320</v>
      </c>
      <c r="I132" s="9">
        <v>-1</v>
      </c>
      <c r="J132" s="9">
        <v>25</v>
      </c>
      <c r="L132" s="22" t="s">
        <v>5438</v>
      </c>
      <c r="M132" s="23" t="s">
        <v>5439</v>
      </c>
    </row>
    <row r="133" spans="1:26" x14ac:dyDescent="0.25">
      <c r="A133" t="s">
        <v>2321</v>
      </c>
      <c r="D133" s="9">
        <f>Parameters!$D$19</f>
        <v>1E-4</v>
      </c>
      <c r="E133" s="9">
        <f>Parameters!$E$19</f>
        <v>1</v>
      </c>
      <c r="H133" s="9" t="s">
        <v>2322</v>
      </c>
      <c r="I133" s="9">
        <v>-2</v>
      </c>
      <c r="J133" s="9">
        <v>3</v>
      </c>
      <c r="L133" s="22" t="s">
        <v>5440</v>
      </c>
      <c r="M133" s="23" t="s">
        <v>5441</v>
      </c>
    </row>
    <row r="134" spans="1:26" x14ac:dyDescent="0.25">
      <c r="A134" t="s">
        <v>2323</v>
      </c>
      <c r="B134" s="9">
        <f>Parameters!$B$19</f>
        <v>1E-4</v>
      </c>
      <c r="C134" s="9">
        <f>Parameters!$C$19</f>
        <v>1</v>
      </c>
      <c r="D134" s="9">
        <f>Parameters!$D$19</f>
        <v>1E-4</v>
      </c>
      <c r="E134" s="9">
        <f>Parameters!$E$19</f>
        <v>1</v>
      </c>
      <c r="H134" s="9" t="s">
        <v>2324</v>
      </c>
      <c r="I134" s="9">
        <v>0</v>
      </c>
      <c r="J134" s="9">
        <v>5</v>
      </c>
      <c r="L134" s="22" t="s">
        <v>5442</v>
      </c>
      <c r="M134" s="23" t="s">
        <v>5443</v>
      </c>
    </row>
    <row r="135" spans="1:26" x14ac:dyDescent="0.25">
      <c r="A135" t="s">
        <v>2325</v>
      </c>
      <c r="B135" s="9">
        <f>Parameters!$B$19</f>
        <v>1E-4</v>
      </c>
      <c r="C135" s="9">
        <f>Parameters!$C$19</f>
        <v>1</v>
      </c>
      <c r="D135" s="9">
        <f>Parameters!$D$19</f>
        <v>1E-4</v>
      </c>
      <c r="E135" s="9">
        <f>Parameters!$E$19</f>
        <v>1</v>
      </c>
      <c r="H135" s="9" t="s">
        <v>2326</v>
      </c>
      <c r="I135" s="9">
        <v>0</v>
      </c>
      <c r="J135" s="9">
        <v>13</v>
      </c>
      <c r="L135" s="22" t="s">
        <v>5444</v>
      </c>
      <c r="M135" s="23" t="s">
        <v>5445</v>
      </c>
    </row>
    <row r="136" spans="1:26" x14ac:dyDescent="0.25">
      <c r="A136" s="25" t="s">
        <v>2327</v>
      </c>
      <c r="B136" s="26"/>
      <c r="C136" s="26"/>
      <c r="D136" s="9">
        <f>Parameters!$D$19</f>
        <v>1E-4</v>
      </c>
      <c r="E136" s="9">
        <f>Parameters!$E$19</f>
        <v>1</v>
      </c>
      <c r="F136" s="25"/>
      <c r="G136" s="25"/>
      <c r="H136" s="26" t="s">
        <v>2328</v>
      </c>
      <c r="I136" s="10">
        <v>1</v>
      </c>
      <c r="J136" s="26">
        <v>84</v>
      </c>
      <c r="K136" s="25"/>
      <c r="L136" s="22" t="s">
        <v>6126</v>
      </c>
      <c r="M136" s="24" t="s">
        <v>6127</v>
      </c>
      <c r="N136" s="24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x14ac:dyDescent="0.25">
      <c r="A137" t="s">
        <v>2329</v>
      </c>
      <c r="D137" s="9">
        <f>Parameters!$D$19</f>
        <v>1E-4</v>
      </c>
      <c r="E137" s="9">
        <f>Parameters!$E$19</f>
        <v>1</v>
      </c>
      <c r="H137" s="9" t="s">
        <v>2330</v>
      </c>
      <c r="I137" s="10">
        <v>-1</v>
      </c>
      <c r="J137" s="9">
        <v>83</v>
      </c>
      <c r="L137" s="22" t="s">
        <v>6128</v>
      </c>
      <c r="M137" s="24" t="s">
        <v>6129</v>
      </c>
      <c r="N137" s="24"/>
    </row>
    <row r="138" spans="1:26" x14ac:dyDescent="0.25">
      <c r="A138" s="25" t="s">
        <v>2331</v>
      </c>
      <c r="B138" s="26"/>
      <c r="C138" s="26"/>
      <c r="D138" s="9">
        <f>Parameters!$D$19</f>
        <v>1E-4</v>
      </c>
      <c r="E138" s="9">
        <f>Parameters!$E$19</f>
        <v>1</v>
      </c>
      <c r="F138" s="25"/>
      <c r="G138" s="25"/>
      <c r="H138" s="26" t="s">
        <v>2332</v>
      </c>
      <c r="I138" s="10">
        <v>0</v>
      </c>
      <c r="J138" s="26">
        <v>100</v>
      </c>
      <c r="K138" s="25"/>
      <c r="L138" s="22" t="s">
        <v>6130</v>
      </c>
      <c r="M138" s="24" t="s">
        <v>6131</v>
      </c>
      <c r="N138" s="24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x14ac:dyDescent="0.25">
      <c r="A139" t="s">
        <v>2333</v>
      </c>
      <c r="D139" s="9">
        <f>Parameters!$D$19</f>
        <v>1E-4</v>
      </c>
      <c r="E139" s="9">
        <f>Parameters!$E$19</f>
        <v>1</v>
      </c>
      <c r="H139" s="9" t="s">
        <v>2334</v>
      </c>
      <c r="I139" s="9">
        <v>-3</v>
      </c>
      <c r="J139" s="9">
        <v>12</v>
      </c>
      <c r="L139" s="22" t="s">
        <v>5446</v>
      </c>
      <c r="M139" s="23" t="s">
        <v>5447</v>
      </c>
    </row>
    <row r="140" spans="1:26" x14ac:dyDescent="0.25">
      <c r="A140" t="s">
        <v>2335</v>
      </c>
      <c r="D140" s="9">
        <f>Parameters!$D$19</f>
        <v>1E-4</v>
      </c>
      <c r="E140" s="9">
        <f>Parameters!$E$19</f>
        <v>1</v>
      </c>
      <c r="H140" s="9" t="s">
        <v>2336</v>
      </c>
      <c r="I140" s="9">
        <v>-2</v>
      </c>
      <c r="J140" s="9">
        <v>23</v>
      </c>
      <c r="L140" s="22" t="s">
        <v>5448</v>
      </c>
      <c r="M140" s="23" t="s">
        <v>5449</v>
      </c>
    </row>
    <row r="141" spans="1:26" x14ac:dyDescent="0.25">
      <c r="A141" t="s">
        <v>2337</v>
      </c>
      <c r="D141" s="9">
        <f>Parameters!$D$19</f>
        <v>1E-4</v>
      </c>
      <c r="E141" s="9">
        <f>Parameters!$E$19</f>
        <v>1</v>
      </c>
      <c r="H141" s="9" t="s">
        <v>2338</v>
      </c>
      <c r="I141" s="9">
        <v>-2</v>
      </c>
      <c r="J141" s="9">
        <v>25</v>
      </c>
      <c r="L141" s="22" t="s">
        <v>5450</v>
      </c>
      <c r="M141" s="23" t="s">
        <v>5451</v>
      </c>
    </row>
    <row r="142" spans="1:26" x14ac:dyDescent="0.25">
      <c r="A142" t="s">
        <v>2339</v>
      </c>
      <c r="D142" s="9">
        <f>Parameters!$D$19</f>
        <v>1E-4</v>
      </c>
      <c r="E142" s="9">
        <f>Parameters!$E$19</f>
        <v>1</v>
      </c>
      <c r="H142" s="9" t="s">
        <v>2340</v>
      </c>
      <c r="I142" s="9">
        <v>-2</v>
      </c>
      <c r="J142" s="9">
        <v>25</v>
      </c>
      <c r="L142" s="22" t="s">
        <v>5452</v>
      </c>
      <c r="M142" s="23" t="s">
        <v>5451</v>
      </c>
    </row>
    <row r="143" spans="1:26" x14ac:dyDescent="0.25">
      <c r="A143" s="25" t="s">
        <v>2341</v>
      </c>
      <c r="B143" s="26"/>
      <c r="C143" s="26"/>
      <c r="D143" s="9">
        <f>Parameters!$D$19</f>
        <v>1E-4</v>
      </c>
      <c r="E143" s="9">
        <f>Parameters!$E$19</f>
        <v>1</v>
      </c>
      <c r="F143" s="25"/>
      <c r="G143" s="25"/>
      <c r="H143" s="26" t="s">
        <v>2342</v>
      </c>
      <c r="I143" s="10">
        <v>-1</v>
      </c>
      <c r="J143" s="26">
        <v>95</v>
      </c>
      <c r="K143" s="25"/>
      <c r="L143" s="22" t="s">
        <v>6132</v>
      </c>
      <c r="M143" s="24" t="s">
        <v>6133</v>
      </c>
      <c r="N143" s="24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x14ac:dyDescent="0.25">
      <c r="A144" t="s">
        <v>2343</v>
      </c>
      <c r="D144" s="9">
        <f>Parameters!$D$19</f>
        <v>1E-4</v>
      </c>
      <c r="E144" s="9">
        <f>Parameters!$E$19</f>
        <v>1</v>
      </c>
      <c r="H144" s="9" t="s">
        <v>2344</v>
      </c>
      <c r="I144" s="9">
        <v>2</v>
      </c>
      <c r="J144" s="9">
        <v>16</v>
      </c>
      <c r="L144" s="22" t="s">
        <v>6134</v>
      </c>
      <c r="M144" s="24" t="s">
        <v>6135</v>
      </c>
      <c r="N144" s="24"/>
    </row>
    <row r="145" spans="1:14" x14ac:dyDescent="0.25">
      <c r="A145" t="s">
        <v>2345</v>
      </c>
      <c r="D145" s="9">
        <f>Parameters!$D$19</f>
        <v>1E-4</v>
      </c>
      <c r="E145" s="9">
        <f>Parameters!$E$19</f>
        <v>1</v>
      </c>
      <c r="H145" s="9" t="s">
        <v>2346</v>
      </c>
      <c r="I145" s="9">
        <v>0</v>
      </c>
      <c r="J145" s="9">
        <v>2524</v>
      </c>
      <c r="L145" s="22" t="s">
        <v>6136</v>
      </c>
      <c r="M145" s="24" t="s">
        <v>6137</v>
      </c>
      <c r="N145" s="24"/>
    </row>
    <row r="146" spans="1:14" x14ac:dyDescent="0.25">
      <c r="A146" t="s">
        <v>2347</v>
      </c>
      <c r="D146" s="9">
        <f>Parameters!$D$19</f>
        <v>1E-4</v>
      </c>
      <c r="E146" s="9">
        <f>Parameters!$E$19</f>
        <v>1</v>
      </c>
      <c r="H146" s="9" t="s">
        <v>2348</v>
      </c>
      <c r="I146" s="9">
        <v>0</v>
      </c>
      <c r="J146" s="9">
        <v>2224</v>
      </c>
      <c r="L146" s="22" t="s">
        <v>5453</v>
      </c>
      <c r="M146" s="23" t="s">
        <v>5454</v>
      </c>
    </row>
    <row r="147" spans="1:14" x14ac:dyDescent="0.25">
      <c r="A147" t="s">
        <v>2349</v>
      </c>
      <c r="D147" s="9">
        <f>Parameters!$D$19</f>
        <v>1E-4</v>
      </c>
      <c r="E147" s="9">
        <f>Parameters!$E$19</f>
        <v>1</v>
      </c>
      <c r="H147" s="9" t="s">
        <v>2350</v>
      </c>
      <c r="I147" s="9">
        <v>-50</v>
      </c>
      <c r="J147" s="9">
        <v>2174</v>
      </c>
      <c r="L147" s="22" t="s">
        <v>5455</v>
      </c>
      <c r="M147" s="23" t="s">
        <v>5456</v>
      </c>
    </row>
    <row r="148" spans="1:14" x14ac:dyDescent="0.25">
      <c r="A148" t="s">
        <v>2351</v>
      </c>
      <c r="D148" s="9">
        <f>Parameters!$D$19</f>
        <v>1E-4</v>
      </c>
      <c r="E148" s="9">
        <f>Parameters!$E$19</f>
        <v>1</v>
      </c>
      <c r="H148" s="9" t="s">
        <v>2352</v>
      </c>
      <c r="I148" s="9">
        <v>0</v>
      </c>
      <c r="J148" s="9">
        <v>20</v>
      </c>
      <c r="L148" s="22" t="s">
        <v>6138</v>
      </c>
      <c r="M148" s="24" t="s">
        <v>6139</v>
      </c>
      <c r="N148" s="24"/>
    </row>
    <row r="149" spans="1:14" x14ac:dyDescent="0.25">
      <c r="A149" t="s">
        <v>2353</v>
      </c>
      <c r="D149" s="9">
        <f>Parameters!$D$19</f>
        <v>1E-4</v>
      </c>
      <c r="E149" s="9">
        <f>Parameters!$E$19</f>
        <v>1</v>
      </c>
      <c r="H149" s="9" t="s">
        <v>2354</v>
      </c>
      <c r="I149" s="9">
        <v>-4</v>
      </c>
      <c r="J149" s="9">
        <v>12</v>
      </c>
      <c r="L149" s="22" t="s">
        <v>5457</v>
      </c>
      <c r="M149" s="23" t="s">
        <v>5458</v>
      </c>
    </row>
    <row r="150" spans="1:14" x14ac:dyDescent="0.25">
      <c r="A150" t="s">
        <v>2355</v>
      </c>
      <c r="D150" s="9">
        <f>Parameters!$D$19</f>
        <v>1E-4</v>
      </c>
      <c r="E150" s="9">
        <f>Parameters!$E$19</f>
        <v>1</v>
      </c>
      <c r="H150" s="9" t="s">
        <v>2356</v>
      </c>
      <c r="I150" s="9">
        <v>-2</v>
      </c>
      <c r="J150" s="9">
        <v>13</v>
      </c>
      <c r="L150" s="22" t="s">
        <v>5459</v>
      </c>
      <c r="M150" s="23" t="s">
        <v>5460</v>
      </c>
    </row>
    <row r="151" spans="1:14" x14ac:dyDescent="0.25">
      <c r="A151" t="s">
        <v>2357</v>
      </c>
      <c r="D151" s="9">
        <f>Parameters!$D$19</f>
        <v>1E-4</v>
      </c>
      <c r="E151" s="9">
        <f>Parameters!$E$19</f>
        <v>1</v>
      </c>
      <c r="H151" s="9" t="s">
        <v>2358</v>
      </c>
      <c r="I151" s="9">
        <v>-2</v>
      </c>
      <c r="J151" s="9">
        <v>12</v>
      </c>
      <c r="L151" s="22" t="s">
        <v>5461</v>
      </c>
      <c r="M151" s="23" t="s">
        <v>5462</v>
      </c>
    </row>
    <row r="152" spans="1:14" x14ac:dyDescent="0.25">
      <c r="A152" t="s">
        <v>2359</v>
      </c>
      <c r="B152" s="9">
        <f>Parameters!$B$19</f>
        <v>1E-4</v>
      </c>
      <c r="C152" s="9">
        <f>Parameters!$C$19</f>
        <v>1</v>
      </c>
      <c r="D152" s="9">
        <f>Parameters!$D$19</f>
        <v>1E-4</v>
      </c>
      <c r="E152" s="9">
        <f>Parameters!$E$19</f>
        <v>1</v>
      </c>
      <c r="H152" s="9" t="s">
        <v>2360</v>
      </c>
      <c r="I152" s="9">
        <v>-2</v>
      </c>
      <c r="J152" s="9">
        <v>4</v>
      </c>
      <c r="L152" s="22" t="s">
        <v>5463</v>
      </c>
      <c r="M152" s="23" t="s">
        <v>5464</v>
      </c>
    </row>
    <row r="153" spans="1:14" x14ac:dyDescent="0.25">
      <c r="A153" t="s">
        <v>2367</v>
      </c>
      <c r="D153" s="9">
        <f>Parameters!$D$19</f>
        <v>1E-4</v>
      </c>
      <c r="E153" s="9">
        <f>Parameters!$E$19</f>
        <v>1</v>
      </c>
      <c r="H153" s="9" t="s">
        <v>2368</v>
      </c>
      <c r="I153" s="9">
        <v>0</v>
      </c>
      <c r="J153" s="9">
        <v>12</v>
      </c>
      <c r="L153" s="22" t="s">
        <v>5465</v>
      </c>
      <c r="M153" s="23" t="s">
        <v>5466</v>
      </c>
    </row>
    <row r="154" spans="1:14" x14ac:dyDescent="0.25">
      <c r="A154" t="s">
        <v>2361</v>
      </c>
      <c r="D154" s="9">
        <f>Parameters!$D$19</f>
        <v>1E-4</v>
      </c>
      <c r="E154" s="9">
        <f>Parameters!$E$19</f>
        <v>1</v>
      </c>
      <c r="H154" s="9" t="s">
        <v>2362</v>
      </c>
      <c r="I154" s="9">
        <v>0</v>
      </c>
      <c r="J154" s="9">
        <v>7</v>
      </c>
      <c r="L154" s="22" t="s">
        <v>5467</v>
      </c>
      <c r="M154" s="23" t="s">
        <v>5468</v>
      </c>
    </row>
    <row r="155" spans="1:14" x14ac:dyDescent="0.25">
      <c r="A155" t="s">
        <v>2369</v>
      </c>
      <c r="D155" s="9">
        <f>Parameters!$D$19</f>
        <v>1E-4</v>
      </c>
      <c r="E155" s="9">
        <f>Parameters!$E$19</f>
        <v>1</v>
      </c>
      <c r="H155" s="9" t="s">
        <v>2370</v>
      </c>
      <c r="I155" s="9">
        <v>-1</v>
      </c>
      <c r="J155" s="9">
        <v>7</v>
      </c>
      <c r="L155" s="22" t="s">
        <v>5469</v>
      </c>
      <c r="M155" s="23" t="s">
        <v>5470</v>
      </c>
    </row>
    <row r="156" spans="1:14" x14ac:dyDescent="0.25">
      <c r="A156" t="s">
        <v>2363</v>
      </c>
      <c r="B156" s="9">
        <f>Parameters!$B$19</f>
        <v>1E-4</v>
      </c>
      <c r="C156" s="9">
        <f>Parameters!$C$19</f>
        <v>1</v>
      </c>
      <c r="D156" s="9">
        <f>Parameters!$D$19</f>
        <v>1E-4</v>
      </c>
      <c r="E156" s="9">
        <f>Parameters!$E$19</f>
        <v>1</v>
      </c>
      <c r="H156" s="9" t="s">
        <v>2364</v>
      </c>
      <c r="I156" s="9">
        <v>0</v>
      </c>
      <c r="J156" s="9">
        <v>7</v>
      </c>
      <c r="L156" s="22" t="s">
        <v>5471</v>
      </c>
      <c r="M156" s="23" t="s">
        <v>5468</v>
      </c>
    </row>
    <row r="157" spans="1:14" x14ac:dyDescent="0.25">
      <c r="A157" t="s">
        <v>2365</v>
      </c>
      <c r="B157" s="9">
        <f>Parameters!$B$19</f>
        <v>1E-4</v>
      </c>
      <c r="C157" s="9">
        <f>Parameters!$C$19</f>
        <v>1</v>
      </c>
      <c r="D157" s="9">
        <f>Parameters!$D$19</f>
        <v>1E-4</v>
      </c>
      <c r="E157" s="9">
        <f>Parameters!$E$19</f>
        <v>1</v>
      </c>
      <c r="H157" s="9" t="s">
        <v>2366</v>
      </c>
      <c r="I157" s="9">
        <v>0</v>
      </c>
      <c r="J157" s="9">
        <v>7</v>
      </c>
      <c r="L157" s="22" t="s">
        <v>5472</v>
      </c>
      <c r="M157" s="23" t="s">
        <v>5468</v>
      </c>
    </row>
    <row r="158" spans="1:14" x14ac:dyDescent="0.25">
      <c r="A158" t="s">
        <v>2371</v>
      </c>
      <c r="B158" s="9">
        <f>Parameters!$B$19</f>
        <v>1E-4</v>
      </c>
      <c r="C158" s="9">
        <f>Parameters!$C$19</f>
        <v>1</v>
      </c>
      <c r="D158" s="9">
        <f>Parameters!$D$19</f>
        <v>1E-4</v>
      </c>
      <c r="E158" s="9">
        <f>Parameters!$E$19</f>
        <v>1</v>
      </c>
      <c r="H158" s="9" t="s">
        <v>2372</v>
      </c>
      <c r="I158" s="9">
        <v>0</v>
      </c>
      <c r="J158" s="9">
        <v>6</v>
      </c>
      <c r="L158" s="22" t="s">
        <v>6140</v>
      </c>
      <c r="M158" s="24" t="s">
        <v>6141</v>
      </c>
      <c r="N158" s="24"/>
    </row>
    <row r="159" spans="1:14" x14ac:dyDescent="0.25">
      <c r="A159" t="s">
        <v>2373</v>
      </c>
      <c r="D159" s="9">
        <f>Parameters!$D$19</f>
        <v>1E-4</v>
      </c>
      <c r="E159" s="9">
        <f>Parameters!$E$19</f>
        <v>1</v>
      </c>
      <c r="H159" s="9" t="s">
        <v>2374</v>
      </c>
      <c r="I159" s="9">
        <v>-1</v>
      </c>
      <c r="J159" s="9">
        <v>7</v>
      </c>
      <c r="L159" s="22" t="s">
        <v>6142</v>
      </c>
      <c r="M159" s="24" t="s">
        <v>6143</v>
      </c>
      <c r="N159" s="24"/>
    </row>
    <row r="160" spans="1:14" x14ac:dyDescent="0.25">
      <c r="A160" t="s">
        <v>2375</v>
      </c>
      <c r="D160" s="9">
        <f>Parameters!$D$19</f>
        <v>1E-4</v>
      </c>
      <c r="E160" s="9">
        <f>Parameters!$E$19</f>
        <v>1</v>
      </c>
      <c r="H160" s="9" t="s">
        <v>2376</v>
      </c>
      <c r="I160" s="9">
        <v>-1</v>
      </c>
      <c r="J160" s="9">
        <v>11</v>
      </c>
      <c r="L160" s="22" t="s">
        <v>6144</v>
      </c>
      <c r="M160" s="24" t="s">
        <v>5654</v>
      </c>
      <c r="N160" s="24"/>
    </row>
    <row r="161" spans="1:14" x14ac:dyDescent="0.25">
      <c r="A161" t="s">
        <v>2377</v>
      </c>
      <c r="D161" s="9">
        <f>Parameters!$D$19</f>
        <v>1E-4</v>
      </c>
      <c r="E161" s="9">
        <f>Parameters!$E$19</f>
        <v>1</v>
      </c>
      <c r="H161" s="9" t="s">
        <v>2378</v>
      </c>
      <c r="I161" s="9">
        <v>1</v>
      </c>
      <c r="J161" s="9">
        <v>23</v>
      </c>
      <c r="L161" s="22" t="s">
        <v>5473</v>
      </c>
      <c r="M161" s="23" t="s">
        <v>5474</v>
      </c>
    </row>
    <row r="162" spans="1:14" x14ac:dyDescent="0.25">
      <c r="A162" t="s">
        <v>2379</v>
      </c>
      <c r="D162" s="9">
        <f>Parameters!$D$19</f>
        <v>1E-4</v>
      </c>
      <c r="E162" s="9">
        <f>Parameters!$E$19</f>
        <v>1</v>
      </c>
      <c r="H162" s="9" t="s">
        <v>2380</v>
      </c>
      <c r="I162" s="9">
        <v>2</v>
      </c>
      <c r="J162" s="9">
        <v>24</v>
      </c>
      <c r="L162" s="22" t="s">
        <v>5475</v>
      </c>
      <c r="M162" s="23" t="s">
        <v>5476</v>
      </c>
    </row>
    <row r="163" spans="1:14" x14ac:dyDescent="0.25">
      <c r="A163" t="s">
        <v>2381</v>
      </c>
      <c r="D163" s="9">
        <f>Parameters!$D$19</f>
        <v>1E-4</v>
      </c>
      <c r="E163" s="9">
        <f>Parameters!$E$19</f>
        <v>1</v>
      </c>
      <c r="H163" s="9" t="s">
        <v>2382</v>
      </c>
      <c r="I163" s="9">
        <v>0</v>
      </c>
      <c r="J163" s="9">
        <v>19</v>
      </c>
      <c r="L163" s="22" t="s">
        <v>6145</v>
      </c>
      <c r="M163" s="24" t="s">
        <v>6146</v>
      </c>
      <c r="N163" s="24"/>
    </row>
    <row r="164" spans="1:14" x14ac:dyDescent="0.25">
      <c r="A164" t="s">
        <v>2383</v>
      </c>
      <c r="B164" s="9">
        <f>Parameters!$B$19</f>
        <v>1E-4</v>
      </c>
      <c r="C164" s="9">
        <f>Parameters!$C$19</f>
        <v>1</v>
      </c>
      <c r="D164" s="9">
        <f>Parameters!$D$19</f>
        <v>1E-4</v>
      </c>
      <c r="E164" s="9">
        <f>Parameters!$E$19</f>
        <v>1</v>
      </c>
      <c r="H164" s="9" t="s">
        <v>2384</v>
      </c>
      <c r="I164" s="9">
        <v>-2</v>
      </c>
      <c r="J164" s="9">
        <v>12</v>
      </c>
      <c r="L164" s="22" t="s">
        <v>5477</v>
      </c>
      <c r="M164" s="23" t="s">
        <v>5478</v>
      </c>
    </row>
    <row r="165" spans="1:14" x14ac:dyDescent="0.25">
      <c r="A165" t="s">
        <v>2385</v>
      </c>
      <c r="D165" s="9">
        <f>Parameters!$D$19</f>
        <v>1E-4</v>
      </c>
      <c r="E165" s="9">
        <f>Parameters!$E$19</f>
        <v>1</v>
      </c>
      <c r="H165" s="9" t="s">
        <v>2386</v>
      </c>
      <c r="I165" s="9">
        <v>-1</v>
      </c>
      <c r="J165" s="9">
        <v>6</v>
      </c>
      <c r="L165" s="22" t="s">
        <v>5479</v>
      </c>
      <c r="M165" s="23" t="s">
        <v>5376</v>
      </c>
    </row>
    <row r="166" spans="1:14" x14ac:dyDescent="0.25">
      <c r="A166" t="s">
        <v>2387</v>
      </c>
      <c r="D166" s="9">
        <f>Parameters!$D$19</f>
        <v>1E-4</v>
      </c>
      <c r="E166" s="9">
        <f>Parameters!$E$19</f>
        <v>1</v>
      </c>
      <c r="H166" s="9" t="s">
        <v>2388</v>
      </c>
      <c r="I166" s="9">
        <v>-4</v>
      </c>
      <c r="J166" s="9">
        <v>24</v>
      </c>
      <c r="L166" s="22" t="s">
        <v>6147</v>
      </c>
      <c r="M166" s="24" t="s">
        <v>6148</v>
      </c>
      <c r="N166" s="24"/>
    </row>
    <row r="167" spans="1:14" x14ac:dyDescent="0.25">
      <c r="A167" t="s">
        <v>2389</v>
      </c>
      <c r="D167" s="9">
        <f>Parameters!$D$19</f>
        <v>1E-4</v>
      </c>
      <c r="E167" s="9">
        <f>Parameters!$E$19</f>
        <v>1</v>
      </c>
      <c r="H167" s="9" t="s">
        <v>2390</v>
      </c>
      <c r="I167" s="9">
        <v>-5</v>
      </c>
      <c r="J167" s="9">
        <v>24</v>
      </c>
      <c r="L167" s="22" t="s">
        <v>6149</v>
      </c>
      <c r="M167" s="24" t="s">
        <v>6150</v>
      </c>
      <c r="N167" s="24"/>
    </row>
    <row r="168" spans="1:14" x14ac:dyDescent="0.25">
      <c r="A168" t="s">
        <v>2391</v>
      </c>
      <c r="D168" s="9">
        <f>Parameters!$D$19</f>
        <v>1E-4</v>
      </c>
      <c r="E168" s="9">
        <f>Parameters!$E$19</f>
        <v>1</v>
      </c>
      <c r="H168" s="9" t="s">
        <v>2392</v>
      </c>
      <c r="I168" s="9">
        <v>-50</v>
      </c>
      <c r="J168" s="9">
        <v>5222</v>
      </c>
      <c r="L168" s="22" t="s">
        <v>5480</v>
      </c>
      <c r="M168" s="23" t="s">
        <v>5481</v>
      </c>
    </row>
    <row r="169" spans="1:14" x14ac:dyDescent="0.25">
      <c r="A169" t="s">
        <v>2393</v>
      </c>
      <c r="D169" s="9">
        <f>Parameters!$D$19</f>
        <v>1E-4</v>
      </c>
      <c r="E169" s="9">
        <f>Parameters!$E$19</f>
        <v>1</v>
      </c>
      <c r="H169" s="9" t="s">
        <v>2394</v>
      </c>
      <c r="I169" s="9">
        <v>0</v>
      </c>
      <c r="J169" s="9">
        <v>-18</v>
      </c>
      <c r="L169" s="22" t="s">
        <v>6151</v>
      </c>
      <c r="M169" s="24" t="s">
        <v>6152</v>
      </c>
      <c r="N169" s="24"/>
    </row>
    <row r="170" spans="1:14" x14ac:dyDescent="0.25">
      <c r="A170" t="s">
        <v>2395</v>
      </c>
      <c r="D170" s="9">
        <f>Parameters!$D$19</f>
        <v>1E-4</v>
      </c>
      <c r="E170" s="9">
        <f>Parameters!$E$19</f>
        <v>1</v>
      </c>
      <c r="H170" s="9" t="s">
        <v>2396</v>
      </c>
      <c r="I170" s="9">
        <v>-2</v>
      </c>
      <c r="J170" s="9">
        <v>12</v>
      </c>
      <c r="L170" s="22" t="s">
        <v>5482</v>
      </c>
      <c r="M170" s="23" t="s">
        <v>5483</v>
      </c>
    </row>
    <row r="171" spans="1:14" x14ac:dyDescent="0.25">
      <c r="A171" t="s">
        <v>2397</v>
      </c>
      <c r="D171" s="9">
        <f>Parameters!$D$19</f>
        <v>1E-4</v>
      </c>
      <c r="E171" s="9">
        <f>Parameters!$E$19</f>
        <v>1</v>
      </c>
      <c r="H171" s="9" t="s">
        <v>2398</v>
      </c>
      <c r="I171" s="9">
        <v>-2</v>
      </c>
      <c r="J171" s="9">
        <v>9</v>
      </c>
      <c r="L171" s="22" t="s">
        <v>5484</v>
      </c>
      <c r="M171" s="23" t="s">
        <v>5485</v>
      </c>
    </row>
    <row r="172" spans="1:14" x14ac:dyDescent="0.25">
      <c r="A172" t="s">
        <v>2399</v>
      </c>
      <c r="B172" s="9">
        <f>Parameters!$B$19</f>
        <v>1E-4</v>
      </c>
      <c r="C172" s="9">
        <f>Parameters!$C$19</f>
        <v>1</v>
      </c>
      <c r="D172" s="9">
        <f>Parameters!$D$19</f>
        <v>1E-4</v>
      </c>
      <c r="E172" s="9">
        <f>Parameters!$E$19</f>
        <v>1</v>
      </c>
      <c r="H172" s="9" t="s">
        <v>2400</v>
      </c>
      <c r="I172" s="9">
        <v>0</v>
      </c>
      <c r="J172" s="9">
        <v>10</v>
      </c>
      <c r="L172" s="22" t="s">
        <v>5486</v>
      </c>
      <c r="M172" s="23" t="s">
        <v>5487</v>
      </c>
    </row>
    <row r="173" spans="1:14" x14ac:dyDescent="0.25">
      <c r="A173" t="s">
        <v>2401</v>
      </c>
      <c r="D173" s="9">
        <f>Parameters!$D$19</f>
        <v>1E-4</v>
      </c>
      <c r="E173" s="9">
        <f>Parameters!$E$19</f>
        <v>1</v>
      </c>
      <c r="H173" s="9" t="s">
        <v>2402</v>
      </c>
      <c r="I173" s="9">
        <v>-2</v>
      </c>
      <c r="J173" s="9">
        <v>15</v>
      </c>
      <c r="L173" s="22" t="s">
        <v>6153</v>
      </c>
      <c r="M173" s="24" t="s">
        <v>6154</v>
      </c>
      <c r="N173" s="24"/>
    </row>
    <row r="174" spans="1:14" x14ac:dyDescent="0.25">
      <c r="A174" t="s">
        <v>2403</v>
      </c>
      <c r="B174" s="9">
        <f>Parameters!$B$19</f>
        <v>1E-4</v>
      </c>
      <c r="C174" s="9">
        <f>Parameters!$C$19</f>
        <v>1</v>
      </c>
      <c r="D174" s="9">
        <f>Parameters!$D$19</f>
        <v>1E-4</v>
      </c>
      <c r="E174" s="9">
        <f>Parameters!$E$19</f>
        <v>1</v>
      </c>
      <c r="H174" s="9" t="s">
        <v>2404</v>
      </c>
      <c r="I174" s="9">
        <v>1</v>
      </c>
      <c r="J174" s="9">
        <v>15</v>
      </c>
      <c r="L174" s="22" t="s">
        <v>5488</v>
      </c>
      <c r="M174" s="23" t="s">
        <v>5489</v>
      </c>
    </row>
    <row r="175" spans="1:14" x14ac:dyDescent="0.25">
      <c r="A175" t="s">
        <v>2405</v>
      </c>
      <c r="D175" s="9">
        <f>Parameters!$D$19</f>
        <v>1E-4</v>
      </c>
      <c r="E175" s="9">
        <f>Parameters!$E$19</f>
        <v>1</v>
      </c>
      <c r="H175" s="9" t="s">
        <v>2406</v>
      </c>
      <c r="I175" s="9">
        <v>-1</v>
      </c>
      <c r="J175" s="9">
        <v>17</v>
      </c>
      <c r="L175" s="22" t="s">
        <v>5490</v>
      </c>
      <c r="M175" s="23" t="s">
        <v>5491</v>
      </c>
    </row>
    <row r="176" spans="1:14" x14ac:dyDescent="0.25">
      <c r="A176" t="s">
        <v>2407</v>
      </c>
      <c r="B176" s="9">
        <f>Parameters!$B$19</f>
        <v>1E-4</v>
      </c>
      <c r="C176" s="9">
        <f>Parameters!$C$19</f>
        <v>1</v>
      </c>
      <c r="D176" s="9">
        <f>Parameters!$D$19</f>
        <v>1E-4</v>
      </c>
      <c r="E176" s="9">
        <f>Parameters!$E$19</f>
        <v>1</v>
      </c>
      <c r="H176" s="9" t="s">
        <v>2408</v>
      </c>
      <c r="I176" s="9">
        <v>0</v>
      </c>
      <c r="J176" s="9">
        <v>8</v>
      </c>
      <c r="L176" s="22" t="s">
        <v>5492</v>
      </c>
      <c r="M176" s="23" t="s">
        <v>5493</v>
      </c>
    </row>
    <row r="177" spans="1:26" x14ac:dyDescent="0.25">
      <c r="A177" t="s">
        <v>2409</v>
      </c>
      <c r="B177" s="9">
        <f>Parameters!$B$19</f>
        <v>1E-4</v>
      </c>
      <c r="C177" s="9">
        <f>Parameters!$C$19</f>
        <v>1</v>
      </c>
      <c r="D177" s="9">
        <f>Parameters!$D$19</f>
        <v>1E-4</v>
      </c>
      <c r="E177" s="9">
        <f>Parameters!$E$19</f>
        <v>1</v>
      </c>
      <c r="H177" s="9" t="s">
        <v>2410</v>
      </c>
      <c r="I177" s="9">
        <v>-1</v>
      </c>
      <c r="J177" s="9">
        <v>6</v>
      </c>
      <c r="L177" s="22" t="s">
        <v>5494</v>
      </c>
      <c r="M177" s="23" t="s">
        <v>5495</v>
      </c>
    </row>
    <row r="178" spans="1:26" x14ac:dyDescent="0.25">
      <c r="A178" t="s">
        <v>2411</v>
      </c>
      <c r="D178" s="9">
        <f>Parameters!$D$19</f>
        <v>1E-4</v>
      </c>
      <c r="E178" s="9">
        <f>Parameters!$E$19</f>
        <v>1</v>
      </c>
      <c r="H178" s="9" t="s">
        <v>2412</v>
      </c>
      <c r="I178" s="9">
        <v>0</v>
      </c>
      <c r="J178" s="9">
        <v>7</v>
      </c>
      <c r="L178" s="22" t="s">
        <v>5496</v>
      </c>
      <c r="M178" s="23" t="s">
        <v>5309</v>
      </c>
    </row>
    <row r="179" spans="1:26" x14ac:dyDescent="0.25">
      <c r="A179" t="s">
        <v>2413</v>
      </c>
      <c r="D179" s="9">
        <f>Parameters!$D$19</f>
        <v>1E-4</v>
      </c>
      <c r="E179" s="9">
        <f>Parameters!$E$19</f>
        <v>1</v>
      </c>
      <c r="H179" s="9" t="s">
        <v>2414</v>
      </c>
      <c r="I179" s="9">
        <v>-4</v>
      </c>
      <c r="J179" s="9">
        <v>12</v>
      </c>
      <c r="L179" s="22" t="s">
        <v>5497</v>
      </c>
      <c r="M179" s="23" t="s">
        <v>5498</v>
      </c>
    </row>
    <row r="180" spans="1:26" x14ac:dyDescent="0.25">
      <c r="A180" t="s">
        <v>2415</v>
      </c>
      <c r="D180" s="9">
        <f>Parameters!$D$19</f>
        <v>1E-4</v>
      </c>
      <c r="E180" s="9">
        <f>Parameters!$E$19</f>
        <v>1</v>
      </c>
      <c r="H180" s="9" t="s">
        <v>2416</v>
      </c>
      <c r="I180" s="9">
        <v>-3</v>
      </c>
      <c r="J180" s="9">
        <v>46</v>
      </c>
      <c r="L180" s="22" t="s">
        <v>6155</v>
      </c>
      <c r="M180" s="24" t="s">
        <v>6156</v>
      </c>
      <c r="N180" s="24"/>
    </row>
    <row r="181" spans="1:26" x14ac:dyDescent="0.25">
      <c r="A181" t="s">
        <v>2417</v>
      </c>
      <c r="D181" s="9">
        <f>Parameters!$D$19</f>
        <v>1E-4</v>
      </c>
      <c r="E181" s="9">
        <f>Parameters!$E$19</f>
        <v>1</v>
      </c>
      <c r="H181" s="9" t="s">
        <v>2418</v>
      </c>
      <c r="I181" s="9">
        <v>1</v>
      </c>
      <c r="J181" s="9">
        <v>12</v>
      </c>
      <c r="L181" s="22" t="s">
        <v>5499</v>
      </c>
      <c r="M181" s="23" t="s">
        <v>5500</v>
      </c>
    </row>
    <row r="182" spans="1:26" x14ac:dyDescent="0.25">
      <c r="A182" t="s">
        <v>2419</v>
      </c>
      <c r="D182" s="9">
        <f>Parameters!$D$19</f>
        <v>1E-4</v>
      </c>
      <c r="E182" s="9">
        <f>Parameters!$E$19</f>
        <v>1</v>
      </c>
      <c r="H182" s="9" t="s">
        <v>2420</v>
      </c>
      <c r="I182" s="9">
        <v>-4</v>
      </c>
      <c r="J182" s="9">
        <v>38</v>
      </c>
      <c r="L182" s="22" t="s">
        <v>6157</v>
      </c>
      <c r="M182" s="24" t="s">
        <v>6158</v>
      </c>
      <c r="N182" s="24"/>
    </row>
    <row r="183" spans="1:26" x14ac:dyDescent="0.25">
      <c r="A183" t="s">
        <v>2421</v>
      </c>
      <c r="D183" s="9">
        <f>Parameters!$D$19</f>
        <v>1E-4</v>
      </c>
      <c r="E183" s="9">
        <f>Parameters!$E$19</f>
        <v>1</v>
      </c>
      <c r="H183" s="9" t="s">
        <v>2422</v>
      </c>
      <c r="I183" s="9">
        <v>-1</v>
      </c>
      <c r="J183" s="9">
        <v>15</v>
      </c>
      <c r="L183" s="22" t="s">
        <v>6159</v>
      </c>
      <c r="M183" s="24" t="s">
        <v>6160</v>
      </c>
      <c r="N183" s="24"/>
    </row>
    <row r="184" spans="1:26" x14ac:dyDescent="0.25">
      <c r="A184" t="s">
        <v>2423</v>
      </c>
      <c r="D184" s="9">
        <f>Parameters!$D$19</f>
        <v>1E-4</v>
      </c>
      <c r="E184" s="9">
        <f>Parameters!$E$19</f>
        <v>1</v>
      </c>
      <c r="H184" s="9" t="s">
        <v>2424</v>
      </c>
      <c r="I184" s="9">
        <v>-1</v>
      </c>
      <c r="J184" s="9">
        <v>15</v>
      </c>
      <c r="L184" s="22" t="s">
        <v>6161</v>
      </c>
      <c r="M184" s="24" t="s">
        <v>6162</v>
      </c>
      <c r="N184" s="24"/>
    </row>
    <row r="185" spans="1:26" x14ac:dyDescent="0.25">
      <c r="A185" t="s">
        <v>2425</v>
      </c>
      <c r="B185" s="9">
        <f>Parameters!$B$19</f>
        <v>1E-4</v>
      </c>
      <c r="C185" s="9">
        <f>Parameters!$C$19</f>
        <v>1</v>
      </c>
      <c r="D185" s="9">
        <f>Parameters!$D$19</f>
        <v>1E-4</v>
      </c>
      <c r="E185" s="9">
        <f>Parameters!$E$19</f>
        <v>1</v>
      </c>
      <c r="H185" s="9" t="s">
        <v>2426</v>
      </c>
      <c r="I185" s="9">
        <v>-1</v>
      </c>
      <c r="J185" s="9">
        <v>7</v>
      </c>
      <c r="L185" s="22" t="s">
        <v>5501</v>
      </c>
      <c r="M185" s="23" t="s">
        <v>5502</v>
      </c>
    </row>
    <row r="186" spans="1:26" x14ac:dyDescent="0.25">
      <c r="A186" t="s">
        <v>2427</v>
      </c>
      <c r="D186" s="9">
        <f>Parameters!$D$19</f>
        <v>1E-4</v>
      </c>
      <c r="E186" s="9">
        <f>Parameters!$E$19</f>
        <v>1</v>
      </c>
      <c r="H186" s="9" t="s">
        <v>2428</v>
      </c>
      <c r="I186" s="9">
        <v>-1</v>
      </c>
      <c r="J186" s="9">
        <v>11</v>
      </c>
      <c r="L186" s="22" t="s">
        <v>6163</v>
      </c>
      <c r="M186" s="24" t="s">
        <v>6164</v>
      </c>
      <c r="N186" s="24"/>
    </row>
    <row r="187" spans="1:26" x14ac:dyDescent="0.25">
      <c r="A187" t="s">
        <v>2429</v>
      </c>
      <c r="D187" s="9">
        <f>Parameters!$D$19</f>
        <v>1E-4</v>
      </c>
      <c r="E187" s="9">
        <f>Parameters!$E$19</f>
        <v>1</v>
      </c>
      <c r="H187" s="9" t="s">
        <v>2430</v>
      </c>
      <c r="I187" s="9">
        <v>-2</v>
      </c>
      <c r="J187" s="9">
        <v>6</v>
      </c>
      <c r="L187" s="22" t="s">
        <v>5503</v>
      </c>
      <c r="M187" s="23" t="s">
        <v>5504</v>
      </c>
    </row>
    <row r="188" spans="1:26" x14ac:dyDescent="0.25">
      <c r="A188" t="s">
        <v>2431</v>
      </c>
      <c r="D188" s="9">
        <f>Parameters!$D$19</f>
        <v>1E-4</v>
      </c>
      <c r="E188" s="9">
        <f>Parameters!$E$19</f>
        <v>1</v>
      </c>
      <c r="H188" s="9" t="s">
        <v>2432</v>
      </c>
      <c r="I188" s="9">
        <v>0</v>
      </c>
      <c r="J188" s="9">
        <v>72</v>
      </c>
      <c r="L188" s="22" t="s">
        <v>6165</v>
      </c>
      <c r="M188" s="24" t="s">
        <v>6166</v>
      </c>
      <c r="N188" s="24"/>
    </row>
    <row r="189" spans="1:26" x14ac:dyDescent="0.25">
      <c r="A189" s="25" t="s">
        <v>2433</v>
      </c>
      <c r="B189" s="9">
        <f>Parameters!$B$19</f>
        <v>1E-4</v>
      </c>
      <c r="C189" s="9">
        <f>Parameters!$C$19</f>
        <v>1</v>
      </c>
      <c r="D189" s="9">
        <f>Parameters!$D$19</f>
        <v>1E-4</v>
      </c>
      <c r="E189" s="9">
        <f>Parameters!$E$19</f>
        <v>1</v>
      </c>
      <c r="F189" s="25"/>
      <c r="G189" s="25"/>
      <c r="H189" s="26" t="s">
        <v>2434</v>
      </c>
      <c r="I189" s="10">
        <v>-1</v>
      </c>
      <c r="J189" s="26">
        <v>88</v>
      </c>
      <c r="K189" s="25"/>
      <c r="L189" s="22" t="s">
        <v>6167</v>
      </c>
      <c r="M189" s="24" t="s">
        <v>6168</v>
      </c>
      <c r="N189" s="24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x14ac:dyDescent="0.25">
      <c r="A190" t="s">
        <v>2435</v>
      </c>
      <c r="D190" s="9">
        <f>Parameters!$D$19</f>
        <v>1E-4</v>
      </c>
      <c r="E190" s="9">
        <f>Parameters!$E$19</f>
        <v>1</v>
      </c>
      <c r="H190" s="9" t="s">
        <v>2436</v>
      </c>
      <c r="I190" s="9">
        <v>-2</v>
      </c>
      <c r="J190" s="9">
        <v>2</v>
      </c>
      <c r="L190" s="22" t="s">
        <v>5505</v>
      </c>
      <c r="M190" s="23" t="s">
        <v>5506</v>
      </c>
    </row>
    <row r="191" spans="1:26" x14ac:dyDescent="0.25">
      <c r="A191" t="s">
        <v>2437</v>
      </c>
      <c r="D191" s="9">
        <f>Parameters!$D$19</f>
        <v>1E-4</v>
      </c>
      <c r="E191" s="9">
        <f>Parameters!$E$19</f>
        <v>1</v>
      </c>
      <c r="H191" s="9" t="s">
        <v>2438</v>
      </c>
      <c r="I191" s="9">
        <v>-3</v>
      </c>
      <c r="J191" s="9">
        <v>12</v>
      </c>
      <c r="L191" s="22" t="s">
        <v>5507</v>
      </c>
      <c r="M191" s="23" t="s">
        <v>5508</v>
      </c>
    </row>
    <row r="192" spans="1:26" x14ac:dyDescent="0.25">
      <c r="A192" t="s">
        <v>2439</v>
      </c>
      <c r="D192" s="9">
        <f>Parameters!$D$19</f>
        <v>1E-4</v>
      </c>
      <c r="E192" s="9">
        <f>Parameters!$E$19</f>
        <v>1</v>
      </c>
      <c r="H192" s="9" t="s">
        <v>2440</v>
      </c>
      <c r="I192" s="9">
        <v>-100</v>
      </c>
      <c r="J192" s="9">
        <v>3898</v>
      </c>
      <c r="L192" s="22" t="s">
        <v>5509</v>
      </c>
      <c r="M192" s="23" t="s">
        <v>5510</v>
      </c>
    </row>
    <row r="193" spans="1:26" x14ac:dyDescent="0.25">
      <c r="A193" t="s">
        <v>2441</v>
      </c>
      <c r="D193" s="9">
        <f>Parameters!$D$19</f>
        <v>1E-4</v>
      </c>
      <c r="E193" s="9">
        <f>Parameters!$E$19</f>
        <v>1</v>
      </c>
      <c r="H193" s="9" t="s">
        <v>2442</v>
      </c>
      <c r="I193" s="9">
        <v>-1</v>
      </c>
      <c r="J193" s="9">
        <v>18</v>
      </c>
      <c r="L193" s="22" t="s">
        <v>5511</v>
      </c>
      <c r="M193" s="23" t="s">
        <v>5512</v>
      </c>
    </row>
    <row r="194" spans="1:26" x14ac:dyDescent="0.25">
      <c r="A194" s="25" t="s">
        <v>2443</v>
      </c>
      <c r="B194" s="26"/>
      <c r="C194" s="26"/>
      <c r="D194" s="9">
        <f>Parameters!$D$19</f>
        <v>1E-4</v>
      </c>
      <c r="E194" s="9">
        <f>Parameters!$E$19</f>
        <v>1</v>
      </c>
      <c r="F194" s="25"/>
      <c r="G194" s="25"/>
      <c r="H194" s="26" t="s">
        <v>2444</v>
      </c>
      <c r="I194" s="26">
        <v>-1</v>
      </c>
      <c r="J194" s="26">
        <v>11</v>
      </c>
      <c r="K194" s="25"/>
      <c r="L194" s="22" t="s">
        <v>6169</v>
      </c>
      <c r="M194" s="24" t="s">
        <v>6170</v>
      </c>
      <c r="N194" s="24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x14ac:dyDescent="0.25">
      <c r="A195" t="s">
        <v>2445</v>
      </c>
      <c r="D195" s="9">
        <f>Parameters!$D$19</f>
        <v>1E-4</v>
      </c>
      <c r="E195" s="9">
        <f>Parameters!$E$19</f>
        <v>1</v>
      </c>
      <c r="H195" s="9" t="s">
        <v>2446</v>
      </c>
      <c r="I195" s="9">
        <v>-1</v>
      </c>
      <c r="J195" s="9">
        <v>9</v>
      </c>
      <c r="L195" s="22" t="s">
        <v>6171</v>
      </c>
      <c r="M195" s="24" t="s">
        <v>6172</v>
      </c>
      <c r="N195" s="24"/>
      <c r="P195" s="25"/>
    </row>
    <row r="196" spans="1:26" x14ac:dyDescent="0.25">
      <c r="A196" t="s">
        <v>3305</v>
      </c>
      <c r="M196" s="23"/>
    </row>
    <row r="197" spans="1:26" x14ac:dyDescent="0.25">
      <c r="A197" t="s">
        <v>2447</v>
      </c>
      <c r="B197" s="9">
        <f>Parameters!$B$19</f>
        <v>1E-4</v>
      </c>
      <c r="C197" s="9">
        <f>Parameters!$C$19</f>
        <v>1</v>
      </c>
      <c r="D197" s="9">
        <f>Parameters!$D$19</f>
        <v>1E-4</v>
      </c>
      <c r="E197" s="9">
        <f>Parameters!$E$19</f>
        <v>1</v>
      </c>
      <c r="H197" s="9" t="s">
        <v>2448</v>
      </c>
      <c r="I197" s="9">
        <v>1</v>
      </c>
      <c r="J197" s="9">
        <v>14</v>
      </c>
      <c r="L197" s="22" t="s">
        <v>5513</v>
      </c>
      <c r="M197" s="23" t="s">
        <v>5514</v>
      </c>
    </row>
    <row r="198" spans="1:26" x14ac:dyDescent="0.25">
      <c r="A198" t="s">
        <v>2449</v>
      </c>
      <c r="D198" s="9">
        <f>Parameters!$D$19</f>
        <v>1E-4</v>
      </c>
      <c r="E198" s="9">
        <f>Parameters!$E$19</f>
        <v>1</v>
      </c>
      <c r="H198" s="9" t="s">
        <v>2450</v>
      </c>
      <c r="I198" s="9">
        <v>-2</v>
      </c>
      <c r="J198" s="9">
        <v>8</v>
      </c>
      <c r="L198" s="22" t="s">
        <v>5515</v>
      </c>
      <c r="M198" s="23" t="s">
        <v>5516</v>
      </c>
    </row>
    <row r="199" spans="1:26" x14ac:dyDescent="0.25">
      <c r="A199" t="s">
        <v>2451</v>
      </c>
      <c r="D199" s="9">
        <f>Parameters!$D$19</f>
        <v>1E-4</v>
      </c>
      <c r="E199" s="9">
        <f>Parameters!$E$19</f>
        <v>1</v>
      </c>
      <c r="H199" s="9" t="s">
        <v>2452</v>
      </c>
      <c r="I199" s="9">
        <v>-1</v>
      </c>
      <c r="J199" s="9">
        <v>7</v>
      </c>
      <c r="L199" s="22" t="s">
        <v>6173</v>
      </c>
      <c r="M199" s="24" t="s">
        <v>6174</v>
      </c>
      <c r="N199" s="24"/>
      <c r="P199" s="25"/>
    </row>
    <row r="200" spans="1:26" x14ac:dyDescent="0.25">
      <c r="A200" t="s">
        <v>2453</v>
      </c>
      <c r="B200" s="9">
        <f>Parameters!$B$19</f>
        <v>1E-4</v>
      </c>
      <c r="C200" s="9">
        <f>Parameters!$C$19</f>
        <v>1</v>
      </c>
      <c r="D200" s="9">
        <f>Parameters!$D$19</f>
        <v>1E-4</v>
      </c>
      <c r="E200" s="9">
        <f>Parameters!$E$19</f>
        <v>1</v>
      </c>
      <c r="H200" s="9" t="s">
        <v>2454</v>
      </c>
      <c r="I200" s="9">
        <v>-3</v>
      </c>
      <c r="J200" s="9">
        <v>5</v>
      </c>
      <c r="L200" s="22" t="s">
        <v>5517</v>
      </c>
      <c r="M200" s="23" t="s">
        <v>5518</v>
      </c>
    </row>
    <row r="201" spans="1:26" x14ac:dyDescent="0.25">
      <c r="A201" t="s">
        <v>2455</v>
      </c>
      <c r="D201" s="9">
        <f>Parameters!$D$19</f>
        <v>1E-4</v>
      </c>
      <c r="E201" s="9">
        <f>Parameters!$E$19</f>
        <v>1</v>
      </c>
      <c r="H201" s="9" t="s">
        <v>2456</v>
      </c>
      <c r="I201" s="9">
        <v>0</v>
      </c>
      <c r="J201" s="9">
        <v>13</v>
      </c>
      <c r="L201" s="22" t="s">
        <v>5519</v>
      </c>
      <c r="M201" s="23" t="s">
        <v>5520</v>
      </c>
    </row>
    <row r="202" spans="1:26" x14ac:dyDescent="0.25">
      <c r="A202" t="s">
        <v>2457</v>
      </c>
      <c r="D202" s="9">
        <f>Parameters!$D$19</f>
        <v>1E-4</v>
      </c>
      <c r="E202" s="9">
        <f>Parameters!$E$19</f>
        <v>1</v>
      </c>
      <c r="H202" s="9" t="s">
        <v>2458</v>
      </c>
      <c r="I202" s="9">
        <v>-2</v>
      </c>
      <c r="J202" s="9">
        <v>24</v>
      </c>
      <c r="L202" s="22" t="s">
        <v>5521</v>
      </c>
      <c r="M202" s="23" t="s">
        <v>5522</v>
      </c>
    </row>
    <row r="203" spans="1:26" x14ac:dyDescent="0.25">
      <c r="A203" t="s">
        <v>2459</v>
      </c>
      <c r="D203" s="9">
        <f>Parameters!$D$19</f>
        <v>1E-4</v>
      </c>
      <c r="E203" s="9">
        <f>Parameters!$E$19</f>
        <v>1</v>
      </c>
      <c r="H203" s="9" t="s">
        <v>2460</v>
      </c>
      <c r="I203" s="9">
        <v>-100</v>
      </c>
      <c r="J203" s="9">
        <v>6996</v>
      </c>
      <c r="L203" s="22" t="s">
        <v>5523</v>
      </c>
      <c r="M203" s="23" t="s">
        <v>5524</v>
      </c>
    </row>
    <row r="204" spans="1:26" x14ac:dyDescent="0.25">
      <c r="A204" t="s">
        <v>2461</v>
      </c>
      <c r="D204" s="9">
        <f>Parameters!$D$19</f>
        <v>1E-4</v>
      </c>
      <c r="E204" s="9">
        <f>Parameters!$E$19</f>
        <v>1</v>
      </c>
      <c r="H204" s="9" t="s">
        <v>2462</v>
      </c>
      <c r="I204" s="9">
        <v>-2</v>
      </c>
      <c r="J204" s="9">
        <v>12</v>
      </c>
      <c r="L204" s="22" t="s">
        <v>5525</v>
      </c>
      <c r="M204" s="23" t="s">
        <v>5526</v>
      </c>
    </row>
    <row r="205" spans="1:26" x14ac:dyDescent="0.25">
      <c r="A205" t="s">
        <v>2463</v>
      </c>
      <c r="B205" s="9">
        <f>Parameters!$B$19</f>
        <v>1E-4</v>
      </c>
      <c r="C205" s="9">
        <f>Parameters!$C$19</f>
        <v>1</v>
      </c>
      <c r="D205" s="9">
        <f>Parameters!$D$19</f>
        <v>1E-4</v>
      </c>
      <c r="E205" s="9">
        <f>Parameters!$E$19</f>
        <v>1</v>
      </c>
      <c r="H205" s="9" t="s">
        <v>6920</v>
      </c>
      <c r="I205" s="9">
        <v>-1</v>
      </c>
      <c r="J205" s="9">
        <v>1</v>
      </c>
      <c r="L205" s="22" t="s">
        <v>6921</v>
      </c>
      <c r="M205" s="23" t="s">
        <v>6921</v>
      </c>
    </row>
    <row r="206" spans="1:26" x14ac:dyDescent="0.25">
      <c r="A206" t="s">
        <v>2464</v>
      </c>
      <c r="D206" s="9">
        <f>Parameters!$D$19</f>
        <v>1E-4</v>
      </c>
      <c r="E206" s="9">
        <f>Parameters!$E$19</f>
        <v>1</v>
      </c>
      <c r="H206" s="9" t="s">
        <v>2465</v>
      </c>
      <c r="I206" s="9">
        <v>-4</v>
      </c>
      <c r="J206" s="9">
        <v>32</v>
      </c>
      <c r="L206" s="22" t="s">
        <v>5527</v>
      </c>
      <c r="M206" s="23" t="s">
        <v>5528</v>
      </c>
    </row>
    <row r="207" spans="1:26" x14ac:dyDescent="0.25">
      <c r="A207" t="s">
        <v>2466</v>
      </c>
      <c r="D207" s="9">
        <f>Parameters!$D$19</f>
        <v>1E-4</v>
      </c>
      <c r="E207" s="9">
        <f>Parameters!$E$19</f>
        <v>1</v>
      </c>
      <c r="H207" s="9" t="s">
        <v>2467</v>
      </c>
      <c r="I207" s="9">
        <v>-4</v>
      </c>
      <c r="J207" s="9">
        <v>40</v>
      </c>
      <c r="L207" s="22" t="s">
        <v>6175</v>
      </c>
      <c r="M207" s="24" t="s">
        <v>6176</v>
      </c>
      <c r="N207" s="24"/>
      <c r="P207" s="25"/>
    </row>
    <row r="208" spans="1:26" x14ac:dyDescent="0.25">
      <c r="A208" t="s">
        <v>2468</v>
      </c>
      <c r="B208" s="9">
        <f>Parameters!$B$19</f>
        <v>1E-4</v>
      </c>
      <c r="C208" s="9">
        <f>Parameters!$C$19</f>
        <v>1</v>
      </c>
      <c r="D208" s="9">
        <f>Parameters!$D$19</f>
        <v>1E-4</v>
      </c>
      <c r="E208" s="9">
        <f>Parameters!$E$19</f>
        <v>1</v>
      </c>
      <c r="H208" s="9" t="s">
        <v>2469</v>
      </c>
      <c r="I208" s="9">
        <v>0</v>
      </c>
      <c r="J208" s="9">
        <v>15</v>
      </c>
      <c r="L208" s="22" t="s">
        <v>6177</v>
      </c>
      <c r="M208" s="24" t="s">
        <v>6178</v>
      </c>
      <c r="N208" s="24"/>
      <c r="P208" s="25"/>
    </row>
    <row r="209" spans="1:16" x14ac:dyDescent="0.25">
      <c r="A209" t="s">
        <v>2470</v>
      </c>
      <c r="D209" s="9">
        <f>Parameters!$D$19</f>
        <v>1E-4</v>
      </c>
      <c r="E209" s="9">
        <f>Parameters!$E$19</f>
        <v>1</v>
      </c>
      <c r="H209" s="9" t="s">
        <v>2471</v>
      </c>
      <c r="I209" s="9">
        <v>-3</v>
      </c>
      <c r="J209" s="9">
        <v>46</v>
      </c>
      <c r="L209" s="22" t="s">
        <v>6179</v>
      </c>
      <c r="M209" s="24" t="s">
        <v>6180</v>
      </c>
      <c r="N209" s="24"/>
      <c r="P209" s="25"/>
    </row>
    <row r="210" spans="1:16" x14ac:dyDescent="0.25">
      <c r="A210" t="s">
        <v>2472</v>
      </c>
      <c r="B210" s="9">
        <f>Parameters!$B$19</f>
        <v>1E-4</v>
      </c>
      <c r="C210" s="9">
        <f>Parameters!$C$19</f>
        <v>1</v>
      </c>
      <c r="D210" s="9">
        <f>Parameters!$D$19</f>
        <v>1E-4</v>
      </c>
      <c r="E210" s="9">
        <f>Parameters!$E$19</f>
        <v>1</v>
      </c>
      <c r="H210" s="9" t="s">
        <v>2473</v>
      </c>
      <c r="I210" s="9">
        <v>0</v>
      </c>
      <c r="J210" s="9">
        <v>5</v>
      </c>
      <c r="L210" s="22" t="s">
        <v>5529</v>
      </c>
      <c r="M210" s="23" t="s">
        <v>5530</v>
      </c>
    </row>
    <row r="211" spans="1:16" x14ac:dyDescent="0.25">
      <c r="A211" t="s">
        <v>2474</v>
      </c>
      <c r="D211" s="9">
        <f>Parameters!$D$19</f>
        <v>1E-4</v>
      </c>
      <c r="E211" s="9">
        <f>Parameters!$E$19</f>
        <v>1</v>
      </c>
      <c r="H211" s="9" t="s">
        <v>2475</v>
      </c>
      <c r="I211" s="9">
        <v>0</v>
      </c>
      <c r="J211" s="9">
        <v>13</v>
      </c>
      <c r="L211" s="22" t="s">
        <v>6181</v>
      </c>
      <c r="M211" s="24" t="s">
        <v>6182</v>
      </c>
      <c r="N211" s="24"/>
      <c r="P211" s="25"/>
    </row>
    <row r="212" spans="1:16" x14ac:dyDescent="0.25">
      <c r="A212" t="s">
        <v>2476</v>
      </c>
      <c r="D212" s="9">
        <f>Parameters!$D$19</f>
        <v>1E-4</v>
      </c>
      <c r="E212" s="9">
        <f>Parameters!$E$19</f>
        <v>1</v>
      </c>
      <c r="H212" s="9" t="s">
        <v>2477</v>
      </c>
      <c r="I212" s="9">
        <v>-3</v>
      </c>
      <c r="J212" s="9">
        <v>44</v>
      </c>
      <c r="L212" s="22" t="s">
        <v>6183</v>
      </c>
      <c r="M212" s="24" t="s">
        <v>6184</v>
      </c>
      <c r="N212" s="24"/>
      <c r="P212" s="25"/>
    </row>
    <row r="213" spans="1:16" x14ac:dyDescent="0.25">
      <c r="A213" t="s">
        <v>2478</v>
      </c>
      <c r="D213" s="9">
        <f>Parameters!$D$19</f>
        <v>1E-4</v>
      </c>
      <c r="E213" s="9">
        <f>Parameters!$E$19</f>
        <v>1</v>
      </c>
      <c r="H213" s="9" t="s">
        <v>2479</v>
      </c>
      <c r="I213" s="9">
        <v>-4</v>
      </c>
      <c r="J213" s="9">
        <v>12</v>
      </c>
      <c r="L213" s="22" t="s">
        <v>5531</v>
      </c>
      <c r="M213" s="23" t="s">
        <v>5532</v>
      </c>
    </row>
    <row r="214" spans="1:16" x14ac:dyDescent="0.25">
      <c r="A214" t="s">
        <v>2480</v>
      </c>
      <c r="D214" s="9">
        <f>Parameters!$D$19</f>
        <v>1E-4</v>
      </c>
      <c r="E214" s="9">
        <f>Parameters!$E$19</f>
        <v>1</v>
      </c>
      <c r="H214" s="9" t="s">
        <v>2481</v>
      </c>
      <c r="I214" s="9">
        <v>0</v>
      </c>
      <c r="J214" s="9">
        <v>1</v>
      </c>
      <c r="L214" s="22" t="s">
        <v>6185</v>
      </c>
      <c r="M214" s="24" t="s">
        <v>6186</v>
      </c>
      <c r="N214" s="24"/>
      <c r="P214" s="25"/>
    </row>
    <row r="215" spans="1:16" x14ac:dyDescent="0.25">
      <c r="A215" t="s">
        <v>2482</v>
      </c>
      <c r="B215" s="9">
        <f>Parameters!$B$19</f>
        <v>1E-4</v>
      </c>
      <c r="C215" s="9">
        <f>Parameters!$C$19</f>
        <v>1</v>
      </c>
      <c r="D215" s="9">
        <f>Parameters!$D$19</f>
        <v>1E-4</v>
      </c>
      <c r="E215" s="9">
        <f>Parameters!$E$19</f>
        <v>1</v>
      </c>
      <c r="H215" s="9" t="s">
        <v>2483</v>
      </c>
      <c r="I215" s="9">
        <v>-1</v>
      </c>
      <c r="J215" s="9">
        <v>0</v>
      </c>
      <c r="L215" s="22" t="s">
        <v>5533</v>
      </c>
      <c r="M215" s="23" t="s">
        <v>5534</v>
      </c>
    </row>
    <row r="216" spans="1:16" x14ac:dyDescent="0.25">
      <c r="A216" t="s">
        <v>2484</v>
      </c>
      <c r="B216" s="9">
        <f>Parameters!$B$19</f>
        <v>1E-4</v>
      </c>
      <c r="C216" s="9">
        <f>Parameters!$C$19</f>
        <v>1</v>
      </c>
      <c r="D216" s="9">
        <f>Parameters!$D$19</f>
        <v>1E-4</v>
      </c>
      <c r="E216" s="9">
        <f>Parameters!$E$19</f>
        <v>1</v>
      </c>
      <c r="H216" s="9" t="s">
        <v>2485</v>
      </c>
      <c r="I216" s="9">
        <v>0</v>
      </c>
      <c r="J216" s="9">
        <v>7</v>
      </c>
      <c r="L216" s="22" t="s">
        <v>5535</v>
      </c>
      <c r="M216" s="23" t="s">
        <v>5536</v>
      </c>
    </row>
    <row r="217" spans="1:16" x14ac:dyDescent="0.25">
      <c r="A217" t="s">
        <v>2486</v>
      </c>
      <c r="D217" s="9">
        <f>Parameters!$D$19</f>
        <v>1E-4</v>
      </c>
      <c r="E217" s="9">
        <f>Parameters!$E$19</f>
        <v>1</v>
      </c>
      <c r="H217" s="9" t="s">
        <v>2487</v>
      </c>
      <c r="I217" s="9">
        <v>0</v>
      </c>
      <c r="J217" s="9">
        <v>14</v>
      </c>
      <c r="L217" s="22" t="s">
        <v>5537</v>
      </c>
      <c r="M217" s="23" t="s">
        <v>5538</v>
      </c>
    </row>
    <row r="218" spans="1:16" x14ac:dyDescent="0.25">
      <c r="A218" t="s">
        <v>2488</v>
      </c>
      <c r="B218" s="9">
        <f>Parameters!$B$19</f>
        <v>1E-4</v>
      </c>
      <c r="C218" s="9">
        <f>Parameters!$C$19</f>
        <v>1</v>
      </c>
      <c r="D218" s="9">
        <f>Parameters!$D$19</f>
        <v>1E-4</v>
      </c>
      <c r="E218" s="9">
        <f>Parameters!$E$19</f>
        <v>1</v>
      </c>
      <c r="H218" s="9" t="s">
        <v>2489</v>
      </c>
      <c r="I218" s="9">
        <v>0</v>
      </c>
      <c r="J218" s="9">
        <v>13</v>
      </c>
      <c r="L218" s="22" t="s">
        <v>5539</v>
      </c>
      <c r="M218" s="23" t="s">
        <v>5540</v>
      </c>
    </row>
    <row r="219" spans="1:16" x14ac:dyDescent="0.25">
      <c r="A219" t="s">
        <v>2490</v>
      </c>
      <c r="B219" s="9">
        <f>Parameters!$B$19</f>
        <v>1E-4</v>
      </c>
      <c r="C219" s="9">
        <f>Parameters!$C$19</f>
        <v>1</v>
      </c>
      <c r="D219" s="9">
        <f>Parameters!$D$19</f>
        <v>1E-4</v>
      </c>
      <c r="E219" s="9">
        <f>Parameters!$E$19</f>
        <v>1</v>
      </c>
      <c r="H219" s="9" t="s">
        <v>2491</v>
      </c>
      <c r="I219" s="9">
        <v>0</v>
      </c>
      <c r="J219" s="9">
        <v>13</v>
      </c>
      <c r="L219" s="22" t="s">
        <v>5541</v>
      </c>
      <c r="M219" s="23" t="s">
        <v>5542</v>
      </c>
    </row>
    <row r="220" spans="1:16" x14ac:dyDescent="0.25">
      <c r="A220" t="s">
        <v>2492</v>
      </c>
      <c r="D220" s="9">
        <f>Parameters!$D$19</f>
        <v>1E-4</v>
      </c>
      <c r="E220" s="9">
        <f>Parameters!$E$19</f>
        <v>1</v>
      </c>
      <c r="H220" s="9" t="s">
        <v>2493</v>
      </c>
      <c r="I220" s="9">
        <v>-3</v>
      </c>
      <c r="J220" s="9">
        <v>12</v>
      </c>
      <c r="L220" s="22" t="s">
        <v>5543</v>
      </c>
      <c r="M220" s="23" t="s">
        <v>5544</v>
      </c>
    </row>
    <row r="221" spans="1:16" x14ac:dyDescent="0.25">
      <c r="A221" t="s">
        <v>2494</v>
      </c>
      <c r="D221" s="9">
        <f>Parameters!$D$19</f>
        <v>1E-4</v>
      </c>
      <c r="E221" s="9">
        <f>Parameters!$E$19</f>
        <v>1</v>
      </c>
      <c r="H221" s="9" t="s">
        <v>2495</v>
      </c>
      <c r="I221" s="9">
        <v>-2</v>
      </c>
      <c r="J221" s="9">
        <v>12</v>
      </c>
      <c r="L221" s="22" t="s">
        <v>5545</v>
      </c>
      <c r="M221" s="23" t="s">
        <v>5546</v>
      </c>
    </row>
    <row r="222" spans="1:16" x14ac:dyDescent="0.25">
      <c r="A222" t="s">
        <v>2496</v>
      </c>
      <c r="D222" s="9">
        <f>Parameters!$D$19</f>
        <v>1E-4</v>
      </c>
      <c r="E222" s="9">
        <f>Parameters!$E$19</f>
        <v>1</v>
      </c>
      <c r="H222" s="9" t="s">
        <v>2497</v>
      </c>
      <c r="I222" s="9">
        <v>1</v>
      </c>
      <c r="J222" s="9">
        <v>21</v>
      </c>
      <c r="L222" s="22" t="s">
        <v>6187</v>
      </c>
      <c r="M222" s="24" t="s">
        <v>6188</v>
      </c>
      <c r="N222" s="24"/>
      <c r="P222" s="25"/>
    </row>
    <row r="223" spans="1:16" x14ac:dyDescent="0.25">
      <c r="A223" t="s">
        <v>2498</v>
      </c>
      <c r="D223" s="9">
        <f>Parameters!$D$19</f>
        <v>1E-4</v>
      </c>
      <c r="E223" s="9">
        <f>Parameters!$E$19</f>
        <v>1</v>
      </c>
      <c r="H223" s="9" t="s">
        <v>2499</v>
      </c>
      <c r="I223" s="9">
        <v>-4</v>
      </c>
      <c r="J223" s="9">
        <v>12</v>
      </c>
      <c r="L223" s="22" t="s">
        <v>5547</v>
      </c>
      <c r="M223" s="23" t="s">
        <v>5548</v>
      </c>
    </row>
    <row r="224" spans="1:16" x14ac:dyDescent="0.25">
      <c r="A224" t="s">
        <v>2500</v>
      </c>
      <c r="D224" s="9">
        <f>Parameters!$D$19</f>
        <v>1E-4</v>
      </c>
      <c r="E224" s="9">
        <f>Parameters!$E$19</f>
        <v>1</v>
      </c>
      <c r="H224" s="9" t="s">
        <v>2501</v>
      </c>
      <c r="I224" s="9">
        <v>-2</v>
      </c>
      <c r="J224" s="9">
        <v>7</v>
      </c>
      <c r="L224" s="22" t="s">
        <v>5549</v>
      </c>
      <c r="M224" s="23" t="s">
        <v>5550</v>
      </c>
    </row>
    <row r="225" spans="1:16" x14ac:dyDescent="0.25">
      <c r="A225" t="s">
        <v>2502</v>
      </c>
      <c r="D225" s="9">
        <f>Parameters!$D$19</f>
        <v>1E-4</v>
      </c>
      <c r="E225" s="9">
        <f>Parameters!$E$19</f>
        <v>1</v>
      </c>
      <c r="H225" s="9" t="s">
        <v>2503</v>
      </c>
      <c r="I225" s="9">
        <v>-4</v>
      </c>
      <c r="J225" s="9">
        <v>14</v>
      </c>
      <c r="L225" s="22" t="s">
        <v>5551</v>
      </c>
      <c r="M225" s="23" t="s">
        <v>5552</v>
      </c>
    </row>
    <row r="226" spans="1:16" x14ac:dyDescent="0.25">
      <c r="A226" t="s">
        <v>2504</v>
      </c>
      <c r="D226" s="9">
        <f>Parameters!$D$19</f>
        <v>1E-4</v>
      </c>
      <c r="E226" s="9">
        <f>Parameters!$E$19</f>
        <v>1</v>
      </c>
      <c r="H226" s="9" t="s">
        <v>2505</v>
      </c>
      <c r="I226" s="9">
        <v>-3</v>
      </c>
      <c r="J226" s="9">
        <v>12</v>
      </c>
      <c r="L226" s="22" t="s">
        <v>5553</v>
      </c>
      <c r="M226" s="23" t="s">
        <v>5554</v>
      </c>
    </row>
    <row r="227" spans="1:16" x14ac:dyDescent="0.25">
      <c r="A227" t="s">
        <v>2506</v>
      </c>
      <c r="D227" s="9">
        <f>Parameters!$D$19</f>
        <v>1E-4</v>
      </c>
      <c r="E227" s="9">
        <f>Parameters!$E$19</f>
        <v>1</v>
      </c>
      <c r="H227" s="9" t="s">
        <v>2507</v>
      </c>
      <c r="I227" s="9">
        <v>-2</v>
      </c>
      <c r="J227" s="9">
        <v>12</v>
      </c>
      <c r="L227" s="22" t="s">
        <v>5555</v>
      </c>
      <c r="M227" s="23" t="s">
        <v>5556</v>
      </c>
    </row>
    <row r="228" spans="1:16" x14ac:dyDescent="0.25">
      <c r="A228" t="s">
        <v>2508</v>
      </c>
      <c r="D228" s="9">
        <f>Parameters!$D$19</f>
        <v>1E-4</v>
      </c>
      <c r="E228" s="9">
        <f>Parameters!$E$19</f>
        <v>1</v>
      </c>
      <c r="H228" s="9" t="s">
        <v>2509</v>
      </c>
      <c r="I228" s="9">
        <v>-4</v>
      </c>
      <c r="J228" s="9">
        <v>12</v>
      </c>
      <c r="L228" s="22" t="s">
        <v>5557</v>
      </c>
      <c r="M228" s="23" t="s">
        <v>5558</v>
      </c>
    </row>
    <row r="229" spans="1:16" x14ac:dyDescent="0.25">
      <c r="A229" t="s">
        <v>2510</v>
      </c>
      <c r="B229" s="9">
        <f>Parameters!$B$19</f>
        <v>1E-4</v>
      </c>
      <c r="C229" s="9">
        <f>Parameters!$C$19</f>
        <v>1</v>
      </c>
      <c r="D229" s="9">
        <f>Parameters!$D$19</f>
        <v>1E-4</v>
      </c>
      <c r="E229" s="9">
        <f>Parameters!$E$19</f>
        <v>1</v>
      </c>
      <c r="H229" s="9" t="s">
        <v>2511</v>
      </c>
      <c r="I229" s="9">
        <v>0</v>
      </c>
      <c r="J229" s="9">
        <v>13</v>
      </c>
      <c r="L229" s="22" t="s">
        <v>5559</v>
      </c>
      <c r="M229" s="23" t="s">
        <v>5560</v>
      </c>
    </row>
    <row r="230" spans="1:16" x14ac:dyDescent="0.25">
      <c r="A230" t="s">
        <v>2512</v>
      </c>
      <c r="D230" s="9">
        <f>Parameters!$D$19</f>
        <v>1E-4</v>
      </c>
      <c r="E230" s="9">
        <f>Parameters!$E$19</f>
        <v>1</v>
      </c>
      <c r="H230" s="9" t="s">
        <v>2513</v>
      </c>
      <c r="I230" s="9">
        <v>-1</v>
      </c>
      <c r="J230" s="9">
        <v>43</v>
      </c>
      <c r="L230" s="22" t="s">
        <v>5561</v>
      </c>
      <c r="M230" s="23" t="s">
        <v>5562</v>
      </c>
    </row>
    <row r="231" spans="1:16" x14ac:dyDescent="0.25">
      <c r="A231" t="s">
        <v>2514</v>
      </c>
      <c r="D231" s="9">
        <f>Parameters!$D$19</f>
        <v>1E-4</v>
      </c>
      <c r="E231" s="9">
        <f>Parameters!$E$19</f>
        <v>1</v>
      </c>
      <c r="H231" s="9" t="s">
        <v>2515</v>
      </c>
      <c r="I231" s="9">
        <v>-3</v>
      </c>
      <c r="J231" s="9">
        <v>12</v>
      </c>
      <c r="L231" s="22" t="s">
        <v>5563</v>
      </c>
      <c r="M231" s="23" t="s">
        <v>5447</v>
      </c>
    </row>
    <row r="232" spans="1:16" x14ac:dyDescent="0.25">
      <c r="A232" t="s">
        <v>2516</v>
      </c>
      <c r="D232" s="9">
        <f>Parameters!$D$19</f>
        <v>1E-4</v>
      </c>
      <c r="E232" s="9">
        <f>Parameters!$E$19</f>
        <v>1</v>
      </c>
      <c r="H232" s="9" t="s">
        <v>2517</v>
      </c>
      <c r="I232" s="9">
        <v>-2</v>
      </c>
      <c r="J232" s="9">
        <v>12</v>
      </c>
      <c r="L232" s="22" t="s">
        <v>5564</v>
      </c>
      <c r="M232" s="23" t="s">
        <v>5478</v>
      </c>
    </row>
    <row r="233" spans="1:16" x14ac:dyDescent="0.25">
      <c r="A233" t="s">
        <v>2518</v>
      </c>
      <c r="B233" s="9">
        <f>Parameters!$B$19</f>
        <v>1E-4</v>
      </c>
      <c r="C233" s="9">
        <f>Parameters!$C$19</f>
        <v>1</v>
      </c>
      <c r="D233" s="9">
        <f>Parameters!$D$19</f>
        <v>1E-4</v>
      </c>
      <c r="E233" s="9">
        <f>Parameters!$E$19</f>
        <v>1</v>
      </c>
      <c r="H233" s="9" t="s">
        <v>2519</v>
      </c>
      <c r="I233" s="9">
        <v>0</v>
      </c>
      <c r="J233" s="9">
        <v>13</v>
      </c>
      <c r="L233" s="22" t="s">
        <v>5565</v>
      </c>
      <c r="M233" s="23" t="s">
        <v>5445</v>
      </c>
    </row>
    <row r="234" spans="1:16" x14ac:dyDescent="0.25">
      <c r="A234" t="s">
        <v>2520</v>
      </c>
      <c r="D234" s="9">
        <f>Parameters!$D$19</f>
        <v>1E-4</v>
      </c>
      <c r="E234" s="9">
        <f>Parameters!$E$19</f>
        <v>1</v>
      </c>
      <c r="H234" s="9" t="s">
        <v>2521</v>
      </c>
      <c r="I234" s="9">
        <v>-4</v>
      </c>
      <c r="J234" s="9">
        <v>12</v>
      </c>
      <c r="L234" s="22" t="s">
        <v>5566</v>
      </c>
      <c r="M234" s="23" t="s">
        <v>5498</v>
      </c>
    </row>
    <row r="235" spans="1:16" x14ac:dyDescent="0.25">
      <c r="A235" t="s">
        <v>2522</v>
      </c>
      <c r="B235" s="9">
        <f>Parameters!$B$19</f>
        <v>1E-4</v>
      </c>
      <c r="C235" s="9">
        <f>Parameters!$C$19</f>
        <v>1</v>
      </c>
      <c r="D235" s="9">
        <f>Parameters!$D$19</f>
        <v>1E-4</v>
      </c>
      <c r="E235" s="9">
        <f>Parameters!$E$19</f>
        <v>1</v>
      </c>
      <c r="H235" s="9" t="s">
        <v>2523</v>
      </c>
      <c r="I235" s="9">
        <v>0</v>
      </c>
      <c r="J235" s="9">
        <v>6</v>
      </c>
      <c r="L235" s="22" t="s">
        <v>5567</v>
      </c>
      <c r="M235" s="23" t="s">
        <v>5568</v>
      </c>
    </row>
    <row r="236" spans="1:16" x14ac:dyDescent="0.25">
      <c r="A236" t="s">
        <v>2524</v>
      </c>
      <c r="D236" s="9">
        <f>Parameters!$D$19</f>
        <v>1E-4</v>
      </c>
      <c r="E236" s="9">
        <f>Parameters!$E$19</f>
        <v>1</v>
      </c>
      <c r="H236" s="9" t="s">
        <v>2525</v>
      </c>
      <c r="I236" s="9">
        <v>-2</v>
      </c>
      <c r="J236" s="9">
        <v>5</v>
      </c>
      <c r="L236" s="22" t="s">
        <v>5569</v>
      </c>
      <c r="M236" s="23" t="s">
        <v>5570</v>
      </c>
    </row>
    <row r="237" spans="1:16" x14ac:dyDescent="0.25">
      <c r="A237" t="s">
        <v>2526</v>
      </c>
      <c r="D237" s="9">
        <f>Parameters!$D$19</f>
        <v>1E-4</v>
      </c>
      <c r="E237" s="9">
        <f>Parameters!$E$19</f>
        <v>1</v>
      </c>
      <c r="H237" s="9" t="s">
        <v>2527</v>
      </c>
      <c r="I237" s="9">
        <v>-1</v>
      </c>
      <c r="J237" s="9">
        <v>7</v>
      </c>
      <c r="L237" s="22" t="s">
        <v>6189</v>
      </c>
      <c r="M237" s="24" t="s">
        <v>5344</v>
      </c>
      <c r="N237" s="24"/>
      <c r="P237" s="25"/>
    </row>
    <row r="238" spans="1:16" x14ac:dyDescent="0.25">
      <c r="A238" t="s">
        <v>2528</v>
      </c>
      <c r="D238" s="9">
        <f>Parameters!$D$19</f>
        <v>1E-4</v>
      </c>
      <c r="E238" s="9">
        <f>Parameters!$E$19</f>
        <v>1</v>
      </c>
      <c r="H238" s="9" t="s">
        <v>2529</v>
      </c>
      <c r="I238" s="9">
        <v>-2</v>
      </c>
      <c r="J238" s="9">
        <v>19</v>
      </c>
      <c r="L238" s="22" t="s">
        <v>5571</v>
      </c>
      <c r="M238" s="23" t="s">
        <v>5572</v>
      </c>
    </row>
    <row r="239" spans="1:16" x14ac:dyDescent="0.25">
      <c r="A239" t="s">
        <v>2530</v>
      </c>
      <c r="D239" s="9">
        <f>Parameters!$D$19</f>
        <v>1E-4</v>
      </c>
      <c r="E239" s="9">
        <f>Parameters!$E$19</f>
        <v>1</v>
      </c>
      <c r="H239" s="9" t="s">
        <v>2531</v>
      </c>
      <c r="I239" s="9">
        <v>-1</v>
      </c>
      <c r="J239" s="9">
        <v>7</v>
      </c>
      <c r="L239" s="22" t="s">
        <v>6190</v>
      </c>
      <c r="M239" s="24" t="s">
        <v>6191</v>
      </c>
      <c r="N239" s="24"/>
      <c r="P239" s="25"/>
    </row>
    <row r="240" spans="1:16" x14ac:dyDescent="0.25">
      <c r="A240" t="s">
        <v>2532</v>
      </c>
      <c r="D240" s="9">
        <f>Parameters!$D$19</f>
        <v>1E-4</v>
      </c>
      <c r="E240" s="9">
        <f>Parameters!$E$19</f>
        <v>1</v>
      </c>
      <c r="H240" s="9" t="s">
        <v>2533</v>
      </c>
      <c r="I240" s="9">
        <v>0</v>
      </c>
      <c r="J240" s="9">
        <v>13</v>
      </c>
      <c r="L240" s="22" t="s">
        <v>5573</v>
      </c>
      <c r="M240" s="23" t="s">
        <v>5574</v>
      </c>
    </row>
    <row r="241" spans="1:16" x14ac:dyDescent="0.25">
      <c r="A241" t="s">
        <v>2534</v>
      </c>
      <c r="D241" s="9">
        <f>Parameters!$D$19</f>
        <v>1E-4</v>
      </c>
      <c r="E241" s="9">
        <f>Parameters!$E$19</f>
        <v>1</v>
      </c>
      <c r="H241" s="9" t="s">
        <v>2535</v>
      </c>
      <c r="I241" s="9">
        <v>-1</v>
      </c>
      <c r="J241" s="9">
        <v>5</v>
      </c>
      <c r="L241" s="22" t="s">
        <v>5575</v>
      </c>
      <c r="M241" s="23" t="s">
        <v>5576</v>
      </c>
    </row>
    <row r="242" spans="1:16" x14ac:dyDescent="0.25">
      <c r="A242" t="s">
        <v>2536</v>
      </c>
      <c r="D242" s="9">
        <f>Parameters!$D$19</f>
        <v>1E-4</v>
      </c>
      <c r="E242" s="9">
        <f>Parameters!$E$19</f>
        <v>1</v>
      </c>
      <c r="H242" s="9" t="s">
        <v>2537</v>
      </c>
      <c r="I242" s="9">
        <v>-2</v>
      </c>
      <c r="J242" s="9">
        <v>12</v>
      </c>
      <c r="L242" s="22" t="s">
        <v>5577</v>
      </c>
      <c r="M242" s="23" t="s">
        <v>5578</v>
      </c>
    </row>
    <row r="243" spans="1:16" x14ac:dyDescent="0.25">
      <c r="A243" t="s">
        <v>2538</v>
      </c>
      <c r="D243" s="9">
        <f>Parameters!$D$19</f>
        <v>1E-4</v>
      </c>
      <c r="E243" s="9">
        <f>Parameters!$E$19</f>
        <v>1</v>
      </c>
      <c r="H243" s="9" t="s">
        <v>2539</v>
      </c>
      <c r="I243" s="9">
        <v>-1</v>
      </c>
      <c r="J243" s="9">
        <v>9</v>
      </c>
      <c r="L243" s="22" t="s">
        <v>6192</v>
      </c>
      <c r="M243" s="24" t="s">
        <v>6172</v>
      </c>
      <c r="N243" s="24"/>
      <c r="P243" s="25"/>
    </row>
    <row r="244" spans="1:16" x14ac:dyDescent="0.25">
      <c r="A244" t="s">
        <v>2540</v>
      </c>
      <c r="D244" s="9">
        <f>Parameters!$D$19</f>
        <v>1E-4</v>
      </c>
      <c r="E244" s="9">
        <f>Parameters!$E$19</f>
        <v>1</v>
      </c>
      <c r="H244" s="9" t="s">
        <v>2541</v>
      </c>
      <c r="I244" s="9">
        <v>-1</v>
      </c>
      <c r="J244" s="9">
        <v>13</v>
      </c>
      <c r="L244" s="22" t="s">
        <v>5579</v>
      </c>
      <c r="M244" s="23" t="s">
        <v>5580</v>
      </c>
    </row>
    <row r="245" spans="1:16" x14ac:dyDescent="0.25">
      <c r="A245" t="s">
        <v>2542</v>
      </c>
      <c r="D245" s="9">
        <f>Parameters!$D$19</f>
        <v>1E-4</v>
      </c>
      <c r="E245" s="9">
        <f>Parameters!$E$19</f>
        <v>1</v>
      </c>
      <c r="H245" s="9" t="s">
        <v>2543</v>
      </c>
      <c r="I245" s="9">
        <v>0</v>
      </c>
      <c r="J245" s="9">
        <v>8</v>
      </c>
      <c r="L245" s="22" t="s">
        <v>6193</v>
      </c>
      <c r="M245" s="24" t="s">
        <v>6194</v>
      </c>
      <c r="N245" s="24"/>
      <c r="P245" s="25"/>
    </row>
    <row r="246" spans="1:16" x14ac:dyDescent="0.25">
      <c r="A246" t="s">
        <v>2544</v>
      </c>
      <c r="B246" s="9">
        <f>Parameters!$B$19</f>
        <v>1E-4</v>
      </c>
      <c r="C246" s="9">
        <f>Parameters!$C$19</f>
        <v>1</v>
      </c>
      <c r="D246" s="9">
        <f>Parameters!$D$19</f>
        <v>1E-4</v>
      </c>
      <c r="E246" s="9">
        <f>Parameters!$E$19</f>
        <v>1</v>
      </c>
      <c r="H246" s="9" t="s">
        <v>2545</v>
      </c>
      <c r="I246" s="9">
        <v>0</v>
      </c>
      <c r="J246" s="9">
        <v>12</v>
      </c>
      <c r="L246" s="22" t="s">
        <v>5581</v>
      </c>
      <c r="M246" s="23" t="s">
        <v>5582</v>
      </c>
    </row>
    <row r="247" spans="1:16" x14ac:dyDescent="0.25">
      <c r="A247" t="s">
        <v>2546</v>
      </c>
      <c r="D247" s="9">
        <f>Parameters!$D$19</f>
        <v>1E-4</v>
      </c>
      <c r="E247" s="9">
        <f>Parameters!$E$19</f>
        <v>1</v>
      </c>
      <c r="H247" s="9" t="s">
        <v>2547</v>
      </c>
      <c r="I247" s="9">
        <v>-2</v>
      </c>
      <c r="J247" s="9">
        <v>7</v>
      </c>
      <c r="L247" s="22" t="s">
        <v>5583</v>
      </c>
      <c r="M247" s="23" t="s">
        <v>5584</v>
      </c>
    </row>
    <row r="248" spans="1:16" x14ac:dyDescent="0.25">
      <c r="A248" t="s">
        <v>2548</v>
      </c>
      <c r="D248" s="9">
        <f>Parameters!$D$19</f>
        <v>1E-4</v>
      </c>
      <c r="E248" s="9">
        <f>Parameters!$E$19</f>
        <v>1</v>
      </c>
      <c r="H248" s="9" t="s">
        <v>2549</v>
      </c>
      <c r="I248" s="9">
        <v>0</v>
      </c>
      <c r="J248" s="9">
        <v>10</v>
      </c>
      <c r="L248" s="22" t="s">
        <v>6195</v>
      </c>
      <c r="M248" s="24" t="s">
        <v>6196</v>
      </c>
      <c r="N248" s="24"/>
      <c r="P248" s="25"/>
    </row>
    <row r="249" spans="1:16" x14ac:dyDescent="0.25">
      <c r="A249" t="s">
        <v>2550</v>
      </c>
      <c r="D249" s="9">
        <f>Parameters!$D$19</f>
        <v>1E-4</v>
      </c>
      <c r="E249" s="9">
        <f>Parameters!$E$19</f>
        <v>1</v>
      </c>
      <c r="H249" s="9" t="s">
        <v>2551</v>
      </c>
      <c r="I249" s="9">
        <v>0</v>
      </c>
      <c r="J249" s="9">
        <v>18</v>
      </c>
      <c r="L249" s="22" t="s">
        <v>5585</v>
      </c>
      <c r="M249" s="23" t="s">
        <v>5586</v>
      </c>
    </row>
    <row r="250" spans="1:16" x14ac:dyDescent="0.25">
      <c r="A250" t="s">
        <v>2552</v>
      </c>
      <c r="D250" s="9">
        <f>Parameters!$D$19</f>
        <v>1E-4</v>
      </c>
      <c r="E250" s="9">
        <f>Parameters!$E$19</f>
        <v>1</v>
      </c>
      <c r="H250" s="9" t="s">
        <v>2553</v>
      </c>
      <c r="I250" s="9">
        <v>-3</v>
      </c>
      <c r="J250" s="9">
        <v>9</v>
      </c>
      <c r="L250" s="22" t="s">
        <v>5587</v>
      </c>
      <c r="M250" s="23" t="s">
        <v>5588</v>
      </c>
    </row>
    <row r="251" spans="1:16" x14ac:dyDescent="0.25">
      <c r="A251" t="s">
        <v>2554</v>
      </c>
      <c r="B251" s="9">
        <f>Parameters!$B$19</f>
        <v>1E-4</v>
      </c>
      <c r="C251" s="9">
        <f>Parameters!$C$19</f>
        <v>1</v>
      </c>
      <c r="D251" s="9">
        <f>Parameters!$D$19</f>
        <v>1E-4</v>
      </c>
      <c r="E251" s="9">
        <f>Parameters!$E$19</f>
        <v>1</v>
      </c>
      <c r="H251" s="9" t="s">
        <v>2555</v>
      </c>
      <c r="I251" s="9">
        <v>0</v>
      </c>
      <c r="J251" s="9">
        <v>6</v>
      </c>
      <c r="L251" s="22" t="s">
        <v>5589</v>
      </c>
      <c r="M251" s="23" t="s">
        <v>5590</v>
      </c>
    </row>
    <row r="252" spans="1:16" x14ac:dyDescent="0.25">
      <c r="A252" t="s">
        <v>2556</v>
      </c>
      <c r="B252" s="9">
        <f>Parameters!$B$19</f>
        <v>1E-4</v>
      </c>
      <c r="C252" s="9">
        <f>Parameters!$C$19</f>
        <v>1</v>
      </c>
      <c r="D252" s="9">
        <f>Parameters!$D$19</f>
        <v>1E-4</v>
      </c>
      <c r="E252" s="9">
        <f>Parameters!$E$19</f>
        <v>1</v>
      </c>
      <c r="H252" s="9" t="s">
        <v>2557</v>
      </c>
      <c r="I252" s="9">
        <v>0</v>
      </c>
      <c r="J252" s="9">
        <v>6</v>
      </c>
      <c r="L252" s="22" t="s">
        <v>5591</v>
      </c>
      <c r="M252" s="23" t="s">
        <v>5592</v>
      </c>
    </row>
    <row r="253" spans="1:16" x14ac:dyDescent="0.25">
      <c r="A253" t="s">
        <v>2558</v>
      </c>
      <c r="D253" s="9">
        <f>Parameters!$D$19</f>
        <v>1E-4</v>
      </c>
      <c r="E253" s="9">
        <f>Parameters!$E$19</f>
        <v>1</v>
      </c>
      <c r="H253" s="9" t="s">
        <v>2559</v>
      </c>
      <c r="I253" s="9">
        <v>-2</v>
      </c>
      <c r="J253" s="9">
        <v>24</v>
      </c>
      <c r="L253" s="22" t="s">
        <v>5593</v>
      </c>
      <c r="M253" s="23" t="s">
        <v>5594</v>
      </c>
    </row>
    <row r="254" spans="1:16" x14ac:dyDescent="0.25">
      <c r="A254" t="s">
        <v>2560</v>
      </c>
      <c r="D254" s="9">
        <f>Parameters!$D$19</f>
        <v>1E-4</v>
      </c>
      <c r="E254" s="9">
        <f>Parameters!$E$19</f>
        <v>1</v>
      </c>
      <c r="H254" s="9" t="s">
        <v>2561</v>
      </c>
      <c r="I254" s="9">
        <v>-2</v>
      </c>
      <c r="J254" s="9">
        <v>33</v>
      </c>
      <c r="L254" s="22" t="s">
        <v>5595</v>
      </c>
      <c r="M254" s="23" t="s">
        <v>5596</v>
      </c>
    </row>
    <row r="255" spans="1:16" x14ac:dyDescent="0.25">
      <c r="A255" t="s">
        <v>2562</v>
      </c>
      <c r="D255" s="9">
        <f>Parameters!$D$19</f>
        <v>1E-4</v>
      </c>
      <c r="E255" s="9">
        <f>Parameters!$E$19</f>
        <v>1</v>
      </c>
      <c r="H255" s="9" t="s">
        <v>2563</v>
      </c>
      <c r="I255" s="9">
        <v>-1</v>
      </c>
      <c r="J255" s="9">
        <v>17</v>
      </c>
      <c r="L255" s="22" t="s">
        <v>6197</v>
      </c>
      <c r="M255" s="24" t="s">
        <v>6198</v>
      </c>
      <c r="N255" s="24"/>
      <c r="P255" s="25"/>
    </row>
    <row r="256" spans="1:16" x14ac:dyDescent="0.25">
      <c r="A256" t="s">
        <v>2564</v>
      </c>
      <c r="D256" s="9">
        <f>Parameters!$D$19</f>
        <v>1E-4</v>
      </c>
      <c r="E256" s="9">
        <f>Parameters!$E$19</f>
        <v>1</v>
      </c>
      <c r="H256" s="9" t="s">
        <v>2565</v>
      </c>
      <c r="I256" s="9">
        <v>-3</v>
      </c>
      <c r="J256" s="9">
        <v>13</v>
      </c>
      <c r="L256" s="22" t="s">
        <v>5597</v>
      </c>
      <c r="M256" s="23" t="s">
        <v>5598</v>
      </c>
    </row>
    <row r="257" spans="1:16" x14ac:dyDescent="0.25">
      <c r="A257" t="s">
        <v>2566</v>
      </c>
      <c r="D257" s="9">
        <f>Parameters!$D$19</f>
        <v>1E-4</v>
      </c>
      <c r="E257" s="9">
        <f>Parameters!$E$19</f>
        <v>1</v>
      </c>
      <c r="H257" s="9" t="s">
        <v>2567</v>
      </c>
      <c r="I257" s="9">
        <v>-2</v>
      </c>
      <c r="J257" s="9">
        <v>27</v>
      </c>
      <c r="L257" s="22" t="s">
        <v>6199</v>
      </c>
      <c r="M257" s="24" t="s">
        <v>6200</v>
      </c>
      <c r="N257" s="24"/>
      <c r="P257" s="25"/>
    </row>
    <row r="258" spans="1:16" x14ac:dyDescent="0.25">
      <c r="A258" t="s">
        <v>2568</v>
      </c>
      <c r="D258" s="9">
        <f>Parameters!$D$19</f>
        <v>1E-4</v>
      </c>
      <c r="E258" s="9">
        <f>Parameters!$E$19</f>
        <v>1</v>
      </c>
      <c r="H258" s="9" t="s">
        <v>2569</v>
      </c>
      <c r="I258" s="9">
        <v>-1</v>
      </c>
      <c r="J258" s="9">
        <v>26</v>
      </c>
      <c r="L258" s="22" t="s">
        <v>6201</v>
      </c>
      <c r="M258" s="24" t="s">
        <v>6202</v>
      </c>
      <c r="N258" s="24"/>
      <c r="P258" s="25"/>
    </row>
    <row r="259" spans="1:16" x14ac:dyDescent="0.25">
      <c r="A259" t="s">
        <v>2570</v>
      </c>
      <c r="D259" s="9">
        <f>Parameters!$D$19</f>
        <v>1E-4</v>
      </c>
      <c r="E259" s="9">
        <f>Parameters!$E$19</f>
        <v>1</v>
      </c>
      <c r="H259" s="9" t="s">
        <v>2571</v>
      </c>
      <c r="I259" s="9">
        <v>-2</v>
      </c>
      <c r="J259" s="9">
        <v>22</v>
      </c>
      <c r="L259" s="22" t="s">
        <v>6203</v>
      </c>
      <c r="M259" s="24" t="s">
        <v>6204</v>
      </c>
      <c r="N259" s="24"/>
      <c r="P259" s="25"/>
    </row>
    <row r="260" spans="1:16" x14ac:dyDescent="0.25">
      <c r="A260" t="s">
        <v>2572</v>
      </c>
      <c r="D260" s="9">
        <f>Parameters!$D$19</f>
        <v>1E-4</v>
      </c>
      <c r="E260" s="9">
        <f>Parameters!$E$19</f>
        <v>1</v>
      </c>
      <c r="H260" s="9" t="s">
        <v>2573</v>
      </c>
      <c r="I260" s="9">
        <v>-2</v>
      </c>
      <c r="J260" s="9">
        <v>22</v>
      </c>
      <c r="L260" s="22" t="s">
        <v>6205</v>
      </c>
      <c r="M260" s="24" t="s">
        <v>6204</v>
      </c>
      <c r="N260" s="24"/>
      <c r="P260" s="25"/>
    </row>
    <row r="261" spans="1:16" x14ac:dyDescent="0.25">
      <c r="A261" t="s">
        <v>2574</v>
      </c>
      <c r="D261" s="9">
        <f>Parameters!$D$19</f>
        <v>1E-4</v>
      </c>
      <c r="E261" s="9">
        <f>Parameters!$E$19</f>
        <v>1</v>
      </c>
      <c r="H261" s="9" t="s">
        <v>2575</v>
      </c>
      <c r="I261" s="9">
        <v>-2</v>
      </c>
      <c r="J261" s="9">
        <v>24</v>
      </c>
      <c r="L261" s="22" t="s">
        <v>6206</v>
      </c>
      <c r="M261" s="24" t="s">
        <v>6207</v>
      </c>
      <c r="N261" s="24"/>
      <c r="P261" s="25"/>
    </row>
    <row r="262" spans="1:16" x14ac:dyDescent="0.25">
      <c r="A262" t="s">
        <v>2576</v>
      </c>
      <c r="D262" s="9">
        <f>Parameters!$D$19</f>
        <v>1E-4</v>
      </c>
      <c r="E262" s="9">
        <f>Parameters!$E$19</f>
        <v>1</v>
      </c>
      <c r="H262" s="9" t="s">
        <v>2577</v>
      </c>
      <c r="I262" s="9">
        <v>-2</v>
      </c>
      <c r="J262" s="9">
        <v>24</v>
      </c>
      <c r="L262" s="22" t="s">
        <v>6208</v>
      </c>
      <c r="M262" s="24" t="s">
        <v>6209</v>
      </c>
      <c r="N262" s="24"/>
      <c r="P262" s="25"/>
    </row>
    <row r="263" spans="1:16" x14ac:dyDescent="0.25">
      <c r="A263" t="s">
        <v>2578</v>
      </c>
      <c r="D263" s="9">
        <f>Parameters!$D$19</f>
        <v>1E-4</v>
      </c>
      <c r="E263" s="9">
        <f>Parameters!$E$19</f>
        <v>1</v>
      </c>
      <c r="H263" s="9" t="s">
        <v>2579</v>
      </c>
      <c r="I263" s="9">
        <v>-2</v>
      </c>
      <c r="J263" s="9">
        <v>13</v>
      </c>
      <c r="L263" s="22" t="s">
        <v>5599</v>
      </c>
      <c r="M263" s="23" t="s">
        <v>5600</v>
      </c>
    </row>
    <row r="264" spans="1:16" x14ac:dyDescent="0.25">
      <c r="A264" t="s">
        <v>2580</v>
      </c>
      <c r="D264" s="9">
        <f>Parameters!$D$19</f>
        <v>1E-4</v>
      </c>
      <c r="E264" s="9">
        <f>Parameters!$E$19</f>
        <v>1</v>
      </c>
      <c r="H264" s="9" t="s">
        <v>2581</v>
      </c>
      <c r="I264" s="9">
        <v>-4</v>
      </c>
      <c r="J264" s="9">
        <v>13</v>
      </c>
      <c r="L264" s="22" t="s">
        <v>5601</v>
      </c>
      <c r="M264" s="23" t="s">
        <v>5602</v>
      </c>
    </row>
    <row r="265" spans="1:16" x14ac:dyDescent="0.25">
      <c r="A265" t="s">
        <v>2582</v>
      </c>
      <c r="D265" s="9">
        <f>Parameters!$D$19</f>
        <v>1E-4</v>
      </c>
      <c r="E265" s="9">
        <f>Parameters!$E$19</f>
        <v>1</v>
      </c>
      <c r="H265" s="9" t="s">
        <v>2583</v>
      </c>
      <c r="I265" s="9">
        <v>-3</v>
      </c>
      <c r="J265" s="9">
        <v>11</v>
      </c>
      <c r="L265" s="22" t="s">
        <v>5603</v>
      </c>
      <c r="M265" s="23" t="s">
        <v>5604</v>
      </c>
    </row>
    <row r="266" spans="1:16" x14ac:dyDescent="0.25">
      <c r="A266" t="s">
        <v>2584</v>
      </c>
      <c r="D266" s="9">
        <f>Parameters!$D$19</f>
        <v>1E-4</v>
      </c>
      <c r="E266" s="9">
        <f>Parameters!$E$19</f>
        <v>1</v>
      </c>
      <c r="H266" s="9" t="s">
        <v>2585</v>
      </c>
      <c r="I266" s="9">
        <v>-2</v>
      </c>
      <c r="J266" s="9">
        <v>11</v>
      </c>
      <c r="L266" s="22" t="s">
        <v>5605</v>
      </c>
      <c r="M266" s="23" t="s">
        <v>5606</v>
      </c>
    </row>
    <row r="267" spans="1:16" x14ac:dyDescent="0.25">
      <c r="A267" t="s">
        <v>2586</v>
      </c>
      <c r="B267" s="9">
        <f>Parameters!$B$19</f>
        <v>1E-4</v>
      </c>
      <c r="C267" s="9">
        <f>Parameters!$C$19</f>
        <v>1</v>
      </c>
      <c r="D267" s="9">
        <f>Parameters!$D$19</f>
        <v>1E-4</v>
      </c>
      <c r="E267" s="9">
        <f>Parameters!$E$19</f>
        <v>1</v>
      </c>
      <c r="H267" s="9" t="s">
        <v>2587</v>
      </c>
      <c r="I267" s="9">
        <v>0</v>
      </c>
      <c r="J267" s="9">
        <v>12</v>
      </c>
      <c r="L267" s="22" t="s">
        <v>5607</v>
      </c>
      <c r="M267" s="23" t="s">
        <v>5608</v>
      </c>
    </row>
    <row r="268" spans="1:16" x14ac:dyDescent="0.25">
      <c r="A268" t="s">
        <v>2588</v>
      </c>
      <c r="D268" s="9">
        <f>Parameters!$D$19</f>
        <v>1E-4</v>
      </c>
      <c r="E268" s="9">
        <f>Parameters!$E$19</f>
        <v>1</v>
      </c>
      <c r="H268" s="9" t="s">
        <v>2589</v>
      </c>
      <c r="I268" s="9">
        <v>-4</v>
      </c>
      <c r="J268" s="9">
        <v>11</v>
      </c>
      <c r="L268" s="22" t="s">
        <v>5609</v>
      </c>
      <c r="M268" s="23" t="s">
        <v>5610</v>
      </c>
    </row>
    <row r="269" spans="1:16" x14ac:dyDescent="0.25">
      <c r="A269" t="s">
        <v>2590</v>
      </c>
      <c r="D269" s="9">
        <f>Parameters!$D$19</f>
        <v>1E-4</v>
      </c>
      <c r="E269" s="9">
        <f>Parameters!$E$19</f>
        <v>1</v>
      </c>
      <c r="H269" s="9" t="s">
        <v>2591</v>
      </c>
      <c r="I269" s="9">
        <v>0</v>
      </c>
      <c r="J269" s="9">
        <v>10</v>
      </c>
      <c r="L269" s="22" t="s">
        <v>6210</v>
      </c>
      <c r="M269" s="24" t="s">
        <v>6211</v>
      </c>
      <c r="N269" s="24"/>
      <c r="P269" s="25"/>
    </row>
    <row r="270" spans="1:16" x14ac:dyDescent="0.25">
      <c r="A270" t="s">
        <v>2592</v>
      </c>
      <c r="D270" s="9">
        <f>Parameters!$D$19</f>
        <v>1E-4</v>
      </c>
      <c r="E270" s="9">
        <f>Parameters!$E$19</f>
        <v>1</v>
      </c>
      <c r="H270" s="9" t="s">
        <v>2593</v>
      </c>
      <c r="I270" s="9">
        <v>-2</v>
      </c>
      <c r="J270" s="9">
        <v>9</v>
      </c>
      <c r="L270" s="22" t="s">
        <v>6212</v>
      </c>
      <c r="M270" s="24" t="s">
        <v>5327</v>
      </c>
      <c r="N270" s="24"/>
      <c r="P270" s="25"/>
    </row>
    <row r="271" spans="1:16" x14ac:dyDescent="0.25">
      <c r="A271" t="s">
        <v>2594</v>
      </c>
      <c r="D271" s="9">
        <f>Parameters!$D$19</f>
        <v>1E-4</v>
      </c>
      <c r="E271" s="9">
        <f>Parameters!$E$19</f>
        <v>1</v>
      </c>
      <c r="H271" s="9" t="s">
        <v>2595</v>
      </c>
      <c r="I271" s="9">
        <v>-2</v>
      </c>
      <c r="J271" s="9">
        <v>7</v>
      </c>
      <c r="L271" s="22" t="s">
        <v>5611</v>
      </c>
      <c r="M271" s="23" t="s">
        <v>5612</v>
      </c>
    </row>
    <row r="272" spans="1:16" x14ac:dyDescent="0.25">
      <c r="A272" t="s">
        <v>2596</v>
      </c>
      <c r="D272" s="9">
        <f>Parameters!$D$19</f>
        <v>1E-4</v>
      </c>
      <c r="E272" s="9">
        <f>Parameters!$E$19</f>
        <v>1</v>
      </c>
      <c r="H272" s="9" t="s">
        <v>2597</v>
      </c>
      <c r="I272" s="9">
        <v>-1</v>
      </c>
      <c r="J272" s="9">
        <v>35</v>
      </c>
      <c r="L272" s="22" t="s">
        <v>6213</v>
      </c>
      <c r="M272" s="24" t="s">
        <v>6214</v>
      </c>
      <c r="N272" s="24"/>
      <c r="P272" s="25"/>
    </row>
    <row r="273" spans="1:16" x14ac:dyDescent="0.25">
      <c r="A273" t="s">
        <v>2598</v>
      </c>
      <c r="D273" s="9">
        <f>Parameters!$D$19</f>
        <v>1E-4</v>
      </c>
      <c r="E273" s="9">
        <f>Parameters!$E$19</f>
        <v>1</v>
      </c>
      <c r="H273" s="9" t="s">
        <v>2599</v>
      </c>
      <c r="I273" s="9">
        <v>-2</v>
      </c>
      <c r="J273" s="9">
        <v>9</v>
      </c>
      <c r="L273" s="22" t="s">
        <v>5613</v>
      </c>
      <c r="M273" s="23" t="s">
        <v>5614</v>
      </c>
    </row>
    <row r="274" spans="1:16" x14ac:dyDescent="0.25">
      <c r="A274" t="s">
        <v>3306</v>
      </c>
      <c r="M274" s="23"/>
    </row>
    <row r="275" spans="1:16" x14ac:dyDescent="0.25">
      <c r="A275" t="s">
        <v>2600</v>
      </c>
      <c r="D275" s="9">
        <f>Parameters!$D$19</f>
        <v>1E-4</v>
      </c>
      <c r="E275" s="9">
        <f>Parameters!$E$19</f>
        <v>1</v>
      </c>
      <c r="H275" s="9" t="s">
        <v>2601</v>
      </c>
      <c r="I275" s="9">
        <v>0</v>
      </c>
      <c r="J275" s="9">
        <v>27</v>
      </c>
      <c r="L275" s="22" t="s">
        <v>6215</v>
      </c>
      <c r="M275" s="24" t="s">
        <v>6216</v>
      </c>
      <c r="N275" s="24"/>
      <c r="P275" s="25"/>
    </row>
    <row r="276" spans="1:16" x14ac:dyDescent="0.25">
      <c r="A276" t="s">
        <v>2602</v>
      </c>
      <c r="D276" s="9">
        <f>Parameters!$D$19</f>
        <v>1E-4</v>
      </c>
      <c r="E276" s="9">
        <f>Parameters!$E$19</f>
        <v>1</v>
      </c>
      <c r="H276" s="9" t="s">
        <v>2603</v>
      </c>
      <c r="I276" s="9">
        <v>1</v>
      </c>
      <c r="J276" s="9">
        <v>8</v>
      </c>
      <c r="L276" s="22" t="s">
        <v>5615</v>
      </c>
      <c r="M276" s="23" t="s">
        <v>5616</v>
      </c>
    </row>
    <row r="277" spans="1:16" x14ac:dyDescent="0.25">
      <c r="A277" t="s">
        <v>2604</v>
      </c>
      <c r="B277" s="9">
        <f>Parameters!$B$19</f>
        <v>1E-4</v>
      </c>
      <c r="C277" s="9">
        <f>Parameters!$C$19</f>
        <v>1</v>
      </c>
      <c r="D277" s="9">
        <f>Parameters!$D$19</f>
        <v>1E-4</v>
      </c>
      <c r="E277" s="9">
        <f>Parameters!$E$19</f>
        <v>1</v>
      </c>
      <c r="H277" s="9" t="s">
        <v>2605</v>
      </c>
      <c r="I277" s="9">
        <v>0</v>
      </c>
      <c r="J277" s="9">
        <v>6</v>
      </c>
      <c r="L277" s="22" t="s">
        <v>5617</v>
      </c>
      <c r="M277" s="23" t="s">
        <v>5618</v>
      </c>
    </row>
    <row r="278" spans="1:16" x14ac:dyDescent="0.25">
      <c r="A278" t="s">
        <v>2606</v>
      </c>
      <c r="D278" s="9">
        <f>Parameters!$D$19</f>
        <v>1E-4</v>
      </c>
      <c r="E278" s="9">
        <f>Parameters!$E$19</f>
        <v>1</v>
      </c>
      <c r="H278" s="9" t="s">
        <v>2607</v>
      </c>
      <c r="I278" s="9">
        <v>-2</v>
      </c>
      <c r="J278" s="9">
        <v>11</v>
      </c>
      <c r="L278" s="22" t="s">
        <v>5619</v>
      </c>
      <c r="M278" s="23" t="s">
        <v>5620</v>
      </c>
    </row>
    <row r="279" spans="1:16" x14ac:dyDescent="0.25">
      <c r="A279" t="s">
        <v>2608</v>
      </c>
      <c r="D279" s="9">
        <f>Parameters!$D$19</f>
        <v>1E-4</v>
      </c>
      <c r="E279" s="9">
        <f>Parameters!$E$19</f>
        <v>1</v>
      </c>
      <c r="H279" s="9" t="s">
        <v>2609</v>
      </c>
      <c r="I279" s="9">
        <v>-2</v>
      </c>
      <c r="J279" s="9">
        <v>11</v>
      </c>
      <c r="L279" s="22" t="s">
        <v>5621</v>
      </c>
      <c r="M279" s="23" t="s">
        <v>5620</v>
      </c>
    </row>
    <row r="280" spans="1:16" x14ac:dyDescent="0.25">
      <c r="A280" t="s">
        <v>2610</v>
      </c>
      <c r="D280" s="9">
        <f>Parameters!$D$19</f>
        <v>1E-4</v>
      </c>
      <c r="E280" s="9">
        <f>Parameters!$E$19</f>
        <v>1</v>
      </c>
      <c r="H280" s="9" t="s">
        <v>2611</v>
      </c>
      <c r="I280" s="9">
        <v>-2</v>
      </c>
      <c r="J280" s="9">
        <v>31</v>
      </c>
      <c r="L280" s="22" t="s">
        <v>5622</v>
      </c>
      <c r="M280" s="23" t="s">
        <v>5623</v>
      </c>
    </row>
    <row r="281" spans="1:16" x14ac:dyDescent="0.25">
      <c r="A281" t="s">
        <v>2612</v>
      </c>
      <c r="D281" s="9">
        <f>Parameters!$D$19</f>
        <v>1E-4</v>
      </c>
      <c r="E281" s="9">
        <f>Parameters!$E$19</f>
        <v>1</v>
      </c>
      <c r="H281" s="9" t="s">
        <v>2613</v>
      </c>
      <c r="I281" s="9">
        <v>-2</v>
      </c>
      <c r="J281" s="9">
        <v>33</v>
      </c>
      <c r="L281" s="22" t="s">
        <v>5624</v>
      </c>
      <c r="M281" s="23" t="s">
        <v>5625</v>
      </c>
    </row>
    <row r="282" spans="1:16" x14ac:dyDescent="0.25">
      <c r="A282" t="s">
        <v>2614</v>
      </c>
      <c r="D282" s="9">
        <f>Parameters!$D$19</f>
        <v>1E-4</v>
      </c>
      <c r="E282" s="9">
        <f>Parameters!$E$19</f>
        <v>1</v>
      </c>
      <c r="H282" s="9" t="s">
        <v>2615</v>
      </c>
      <c r="I282" s="9">
        <v>-2</v>
      </c>
      <c r="J282" s="9">
        <v>11</v>
      </c>
      <c r="L282" s="22" t="s">
        <v>6217</v>
      </c>
      <c r="M282" s="24" t="s">
        <v>5639</v>
      </c>
      <c r="N282" s="24"/>
      <c r="P282" s="25"/>
    </row>
    <row r="283" spans="1:16" x14ac:dyDescent="0.25">
      <c r="A283" t="s">
        <v>2616</v>
      </c>
      <c r="D283" s="9">
        <f>Parameters!$D$19</f>
        <v>1E-4</v>
      </c>
      <c r="E283" s="9">
        <f>Parameters!$E$19</f>
        <v>1</v>
      </c>
      <c r="H283" s="9" t="s">
        <v>2617</v>
      </c>
      <c r="I283" s="9">
        <v>0</v>
      </c>
      <c r="J283" s="9">
        <v>12</v>
      </c>
      <c r="L283" s="22" t="s">
        <v>6218</v>
      </c>
      <c r="M283" s="24" t="s">
        <v>6219</v>
      </c>
      <c r="N283" s="24"/>
      <c r="P283" s="25"/>
    </row>
    <row r="284" spans="1:16" x14ac:dyDescent="0.25">
      <c r="A284" t="s">
        <v>2618</v>
      </c>
      <c r="D284" s="9">
        <f>Parameters!$D$19</f>
        <v>1E-4</v>
      </c>
      <c r="E284" s="9">
        <f>Parameters!$E$19</f>
        <v>1</v>
      </c>
      <c r="H284" s="9" t="s">
        <v>2619</v>
      </c>
      <c r="I284" s="9">
        <v>-4</v>
      </c>
      <c r="J284" s="9">
        <v>10</v>
      </c>
      <c r="L284" s="22" t="s">
        <v>5626</v>
      </c>
      <c r="M284" s="23" t="s">
        <v>5627</v>
      </c>
    </row>
    <row r="285" spans="1:16" x14ac:dyDescent="0.25">
      <c r="A285" t="s">
        <v>2620</v>
      </c>
      <c r="B285" s="9">
        <f>Parameters!$B$19</f>
        <v>1E-4</v>
      </c>
      <c r="C285" s="9">
        <f>Parameters!$C$19</f>
        <v>1</v>
      </c>
      <c r="D285" s="9">
        <f>Parameters!$D$19</f>
        <v>1E-4</v>
      </c>
      <c r="E285" s="9">
        <f>Parameters!$E$19</f>
        <v>1</v>
      </c>
      <c r="H285" s="9" t="s">
        <v>2621</v>
      </c>
      <c r="I285" s="9">
        <v>2</v>
      </c>
      <c r="J285" s="9">
        <v>0</v>
      </c>
      <c r="L285" s="22" t="s">
        <v>6220</v>
      </c>
      <c r="M285" s="24" t="s">
        <v>6221</v>
      </c>
      <c r="N285" s="24"/>
      <c r="P285" s="25"/>
    </row>
    <row r="286" spans="1:16" x14ac:dyDescent="0.25">
      <c r="A286" t="s">
        <v>2622</v>
      </c>
      <c r="D286" s="9">
        <f>Parameters!$D$19</f>
        <v>1E-4</v>
      </c>
      <c r="E286" s="9">
        <f>Parameters!$E$19</f>
        <v>1</v>
      </c>
      <c r="H286" s="9" t="s">
        <v>2623</v>
      </c>
      <c r="I286" s="9">
        <v>-2</v>
      </c>
      <c r="J286" s="9">
        <v>13</v>
      </c>
      <c r="L286" s="22" t="s">
        <v>5628</v>
      </c>
      <c r="M286" s="23" t="s">
        <v>5629</v>
      </c>
    </row>
    <row r="287" spans="1:16" x14ac:dyDescent="0.25">
      <c r="A287" t="s">
        <v>2624</v>
      </c>
      <c r="D287" s="9">
        <f>Parameters!$D$19</f>
        <v>1E-4</v>
      </c>
      <c r="E287" s="9">
        <f>Parameters!$E$19</f>
        <v>1</v>
      </c>
      <c r="H287" s="9" t="s">
        <v>2625</v>
      </c>
      <c r="I287" s="9">
        <v>-2</v>
      </c>
      <c r="J287" s="9">
        <v>19</v>
      </c>
      <c r="L287" s="22" t="s">
        <v>5630</v>
      </c>
      <c r="M287" s="23" t="s">
        <v>5631</v>
      </c>
    </row>
    <row r="288" spans="1:16" x14ac:dyDescent="0.25">
      <c r="A288" t="s">
        <v>2626</v>
      </c>
      <c r="B288" s="9">
        <f>Parameters!$B$19</f>
        <v>1E-4</v>
      </c>
      <c r="C288" s="9">
        <f>Parameters!$C$19</f>
        <v>1</v>
      </c>
      <c r="D288" s="9">
        <f>Parameters!$D$19</f>
        <v>1E-4</v>
      </c>
      <c r="E288" s="9">
        <f>Parameters!$E$19</f>
        <v>1</v>
      </c>
      <c r="H288" s="9" t="s">
        <v>2627</v>
      </c>
      <c r="I288" s="9">
        <v>-1</v>
      </c>
      <c r="J288" s="9">
        <v>1</v>
      </c>
      <c r="L288" s="22" t="s">
        <v>5632</v>
      </c>
      <c r="M288" s="23" t="s">
        <v>5633</v>
      </c>
    </row>
    <row r="289" spans="1:16" x14ac:dyDescent="0.25">
      <c r="A289" t="s">
        <v>2628</v>
      </c>
      <c r="D289" s="9">
        <f>Parameters!$D$19</f>
        <v>1E-4</v>
      </c>
      <c r="E289" s="9">
        <f>Parameters!$E$19</f>
        <v>1</v>
      </c>
      <c r="H289" s="9" t="s">
        <v>2629</v>
      </c>
      <c r="I289" s="9">
        <v>-1</v>
      </c>
      <c r="J289" s="9">
        <v>15</v>
      </c>
      <c r="L289" s="22" t="s">
        <v>6222</v>
      </c>
      <c r="M289" s="24" t="s">
        <v>6223</v>
      </c>
      <c r="N289" s="24"/>
      <c r="P289" s="25"/>
    </row>
    <row r="290" spans="1:16" x14ac:dyDescent="0.25">
      <c r="A290" t="s">
        <v>2630</v>
      </c>
      <c r="D290" s="9">
        <f>Parameters!$D$19</f>
        <v>1E-4</v>
      </c>
      <c r="E290" s="9">
        <f>Parameters!$E$19</f>
        <v>1</v>
      </c>
      <c r="H290" s="9" t="s">
        <v>2631</v>
      </c>
      <c r="I290" s="9">
        <v>-2</v>
      </c>
      <c r="J290" s="9">
        <v>13</v>
      </c>
      <c r="L290" s="22" t="s">
        <v>5634</v>
      </c>
      <c r="M290" s="23" t="s">
        <v>5635</v>
      </c>
    </row>
    <row r="291" spans="1:16" x14ac:dyDescent="0.25">
      <c r="A291" t="s">
        <v>2632</v>
      </c>
      <c r="D291" s="9">
        <f>Parameters!$D$19</f>
        <v>1E-4</v>
      </c>
      <c r="E291" s="9">
        <f>Parameters!$E$19</f>
        <v>1</v>
      </c>
      <c r="H291" s="9" t="s">
        <v>2633</v>
      </c>
      <c r="I291" s="9">
        <v>-3</v>
      </c>
      <c r="J291" s="9">
        <v>25</v>
      </c>
      <c r="L291" s="22" t="s">
        <v>6224</v>
      </c>
      <c r="M291" s="24" t="s">
        <v>6225</v>
      </c>
      <c r="N291" s="24"/>
      <c r="P291" s="25"/>
    </row>
    <row r="292" spans="1:16" x14ac:dyDescent="0.25">
      <c r="A292" t="s">
        <v>2634</v>
      </c>
      <c r="B292" s="9">
        <f>Parameters!$B$19</f>
        <v>1E-4</v>
      </c>
      <c r="C292" s="9">
        <f>Parameters!$C$19</f>
        <v>1</v>
      </c>
      <c r="D292" s="9">
        <f>Parameters!$D$19</f>
        <v>1E-4</v>
      </c>
      <c r="E292" s="9">
        <f>Parameters!$E$19</f>
        <v>1</v>
      </c>
      <c r="H292" s="9" t="s">
        <v>2635</v>
      </c>
      <c r="I292" s="9">
        <v>0</v>
      </c>
      <c r="J292" s="9">
        <v>12</v>
      </c>
      <c r="L292" s="22" t="s">
        <v>5636</v>
      </c>
      <c r="M292" s="23" t="s">
        <v>5637</v>
      </c>
    </row>
    <row r="293" spans="1:16" x14ac:dyDescent="0.25">
      <c r="A293" t="s">
        <v>2636</v>
      </c>
      <c r="D293" s="9">
        <f>Parameters!$D$19</f>
        <v>1E-4</v>
      </c>
      <c r="E293" s="9">
        <f>Parameters!$E$19</f>
        <v>1</v>
      </c>
      <c r="H293" s="9" t="s">
        <v>2637</v>
      </c>
      <c r="I293" s="9">
        <v>-1</v>
      </c>
      <c r="J293" s="9">
        <v>9</v>
      </c>
      <c r="L293" s="22" t="s">
        <v>6226</v>
      </c>
      <c r="M293" s="24" t="s">
        <v>5319</v>
      </c>
      <c r="N293" s="24"/>
      <c r="P293" s="25"/>
    </row>
    <row r="294" spans="1:16" x14ac:dyDescent="0.25">
      <c r="A294" t="s">
        <v>2640</v>
      </c>
      <c r="B294" s="9">
        <f>Parameters!$B$19</f>
        <v>1E-4</v>
      </c>
      <c r="C294" s="9">
        <f>Parameters!$C$19</f>
        <v>1</v>
      </c>
      <c r="D294" s="9">
        <f>Parameters!$D$19</f>
        <v>1E-4</v>
      </c>
      <c r="E294" s="9">
        <f>Parameters!$E$19</f>
        <v>1</v>
      </c>
      <c r="H294" s="9" t="s">
        <v>2641</v>
      </c>
      <c r="I294" s="9">
        <v>-2</v>
      </c>
      <c r="J294" s="9">
        <v>9</v>
      </c>
      <c r="L294" s="22" t="s">
        <v>5638</v>
      </c>
      <c r="M294" s="23" t="s">
        <v>5639</v>
      </c>
    </row>
    <row r="295" spans="1:16" x14ac:dyDescent="0.25">
      <c r="A295" t="s">
        <v>2638</v>
      </c>
      <c r="B295" s="9">
        <f>Parameters!$B$19</f>
        <v>1E-4</v>
      </c>
      <c r="C295" s="9">
        <f>Parameters!$C$19</f>
        <v>1</v>
      </c>
      <c r="D295" s="9">
        <f>Parameters!$D$19</f>
        <v>1E-4</v>
      </c>
      <c r="E295" s="9">
        <f>Parameters!$E$19</f>
        <v>1</v>
      </c>
      <c r="H295" s="9" t="s">
        <v>2639</v>
      </c>
      <c r="I295" s="9">
        <v>0</v>
      </c>
      <c r="J295" s="9">
        <v>12</v>
      </c>
      <c r="L295" s="22" t="s">
        <v>6227</v>
      </c>
      <c r="M295" s="24" t="s">
        <v>6219</v>
      </c>
      <c r="N295" s="24"/>
      <c r="P295" s="25"/>
    </row>
    <row r="296" spans="1:16" x14ac:dyDescent="0.25">
      <c r="A296" t="s">
        <v>2642</v>
      </c>
      <c r="B296" s="9">
        <f>Parameters!$B$19</f>
        <v>1E-4</v>
      </c>
      <c r="C296" s="9">
        <f>Parameters!$C$19</f>
        <v>1</v>
      </c>
      <c r="D296" s="9">
        <f>Parameters!$D$19</f>
        <v>1E-4</v>
      </c>
      <c r="E296" s="9">
        <f>Parameters!$E$19</f>
        <v>1</v>
      </c>
      <c r="H296" s="9" t="s">
        <v>2643</v>
      </c>
      <c r="I296" s="9">
        <v>-2</v>
      </c>
      <c r="J296" s="9">
        <v>2</v>
      </c>
      <c r="L296" s="22" t="s">
        <v>5640</v>
      </c>
      <c r="M296" s="23" t="s">
        <v>5641</v>
      </c>
    </row>
    <row r="297" spans="1:16" x14ac:dyDescent="0.25">
      <c r="A297" t="s">
        <v>2644</v>
      </c>
      <c r="D297" s="9">
        <f>Parameters!$D$19</f>
        <v>1E-4</v>
      </c>
      <c r="E297" s="9">
        <f>Parameters!$E$19</f>
        <v>1</v>
      </c>
      <c r="H297" s="9" t="s">
        <v>2645</v>
      </c>
      <c r="I297" s="9">
        <v>-2</v>
      </c>
      <c r="J297" s="9">
        <v>11</v>
      </c>
      <c r="L297" s="22" t="s">
        <v>5642</v>
      </c>
      <c r="M297" s="23" t="s">
        <v>5620</v>
      </c>
    </row>
    <row r="298" spans="1:16" x14ac:dyDescent="0.25">
      <c r="A298" t="s">
        <v>2646</v>
      </c>
      <c r="D298" s="9">
        <f>Parameters!$D$19</f>
        <v>1E-4</v>
      </c>
      <c r="E298" s="9">
        <f>Parameters!$E$19</f>
        <v>1</v>
      </c>
      <c r="H298" s="9" t="s">
        <v>2647</v>
      </c>
      <c r="I298" s="9">
        <v>-2</v>
      </c>
      <c r="J298" s="9">
        <v>5</v>
      </c>
      <c r="L298" s="22" t="s">
        <v>5643</v>
      </c>
      <c r="M298" s="23" t="s">
        <v>5570</v>
      </c>
    </row>
    <row r="299" spans="1:16" x14ac:dyDescent="0.25">
      <c r="A299" t="s">
        <v>2648</v>
      </c>
      <c r="D299" s="9">
        <f>Parameters!$D$19</f>
        <v>1E-4</v>
      </c>
      <c r="E299" s="9">
        <f>Parameters!$E$19</f>
        <v>1</v>
      </c>
      <c r="H299" s="9" t="s">
        <v>2649</v>
      </c>
      <c r="I299" s="9">
        <v>0</v>
      </c>
      <c r="J299" s="9">
        <v>20</v>
      </c>
      <c r="L299" s="22" t="s">
        <v>6228</v>
      </c>
      <c r="M299" s="24" t="s">
        <v>6229</v>
      </c>
      <c r="N299" s="24"/>
      <c r="P299" s="25"/>
    </row>
    <row r="300" spans="1:16" x14ac:dyDescent="0.25">
      <c r="A300" t="s">
        <v>2650</v>
      </c>
      <c r="D300" s="9">
        <f>Parameters!$D$19</f>
        <v>1E-4</v>
      </c>
      <c r="E300" s="9">
        <f>Parameters!$E$19</f>
        <v>1</v>
      </c>
      <c r="H300" s="9" t="s">
        <v>2651</v>
      </c>
      <c r="I300" s="9">
        <v>0</v>
      </c>
      <c r="J300" s="9">
        <v>14</v>
      </c>
      <c r="L300" s="22" t="s">
        <v>5644</v>
      </c>
      <c r="M300" s="23" t="s">
        <v>5645</v>
      </c>
    </row>
    <row r="301" spans="1:16" x14ac:dyDescent="0.25">
      <c r="A301" t="s">
        <v>2652</v>
      </c>
      <c r="D301" s="9">
        <f>Parameters!$D$19</f>
        <v>1E-4</v>
      </c>
      <c r="E301" s="9">
        <f>Parameters!$E$19</f>
        <v>1</v>
      </c>
      <c r="H301" s="9" t="s">
        <v>2653</v>
      </c>
      <c r="I301" s="9">
        <v>-1</v>
      </c>
      <c r="J301" s="9">
        <v>14</v>
      </c>
      <c r="L301" s="22" t="s">
        <v>5646</v>
      </c>
      <c r="M301" s="23" t="s">
        <v>5647</v>
      </c>
    </row>
    <row r="302" spans="1:16" x14ac:dyDescent="0.25">
      <c r="A302" t="s">
        <v>2654</v>
      </c>
      <c r="D302" s="9">
        <f>Parameters!$D$19</f>
        <v>1E-4</v>
      </c>
      <c r="E302" s="9">
        <f>Parameters!$E$19</f>
        <v>1</v>
      </c>
      <c r="H302" s="9" t="s">
        <v>2655</v>
      </c>
      <c r="I302" s="9">
        <v>-1</v>
      </c>
      <c r="J302" s="9">
        <v>18</v>
      </c>
      <c r="L302" s="22" t="s">
        <v>6230</v>
      </c>
      <c r="M302" s="24" t="s">
        <v>6231</v>
      </c>
      <c r="N302" s="24"/>
      <c r="P302" s="25"/>
    </row>
    <row r="303" spans="1:16" x14ac:dyDescent="0.25">
      <c r="A303" t="s">
        <v>2656</v>
      </c>
      <c r="D303" s="9">
        <f>Parameters!$D$19</f>
        <v>1E-4</v>
      </c>
      <c r="E303" s="9">
        <f>Parameters!$E$19</f>
        <v>1</v>
      </c>
      <c r="H303" s="9" t="s">
        <v>2657</v>
      </c>
      <c r="I303" s="9">
        <v>-1</v>
      </c>
      <c r="J303" s="9">
        <v>13</v>
      </c>
      <c r="L303" s="22" t="s">
        <v>6232</v>
      </c>
      <c r="M303" s="24" t="s">
        <v>5659</v>
      </c>
      <c r="N303" s="24"/>
      <c r="P303" s="25"/>
    </row>
    <row r="304" spans="1:16" x14ac:dyDescent="0.25">
      <c r="A304" t="s">
        <v>2658</v>
      </c>
      <c r="B304" s="9">
        <f>Parameters!$B$19</f>
        <v>1E-4</v>
      </c>
      <c r="C304" s="9">
        <f>Parameters!$C$19</f>
        <v>1</v>
      </c>
      <c r="D304" s="9">
        <f>Parameters!$D$19</f>
        <v>1E-4</v>
      </c>
      <c r="E304" s="9">
        <f>Parameters!$E$19</f>
        <v>1</v>
      </c>
      <c r="H304" s="9" t="s">
        <v>2659</v>
      </c>
      <c r="I304" s="9">
        <v>-2</v>
      </c>
      <c r="J304" s="9">
        <v>11</v>
      </c>
      <c r="L304" s="22" t="s">
        <v>5648</v>
      </c>
      <c r="M304" s="23" t="s">
        <v>5620</v>
      </c>
    </row>
    <row r="305" spans="1:16" x14ac:dyDescent="0.25">
      <c r="A305" t="s">
        <v>2660</v>
      </c>
      <c r="B305" s="9">
        <f>Parameters!$B$19</f>
        <v>1E-4</v>
      </c>
      <c r="C305" s="9">
        <f>Parameters!$C$19</f>
        <v>1</v>
      </c>
      <c r="D305" s="9">
        <f>Parameters!$D$19</f>
        <v>1E-4</v>
      </c>
      <c r="E305" s="9">
        <f>Parameters!$E$19</f>
        <v>1</v>
      </c>
      <c r="H305" s="9" t="s">
        <v>2661</v>
      </c>
      <c r="I305" s="9">
        <v>0</v>
      </c>
      <c r="J305" s="9">
        <v>12</v>
      </c>
      <c r="L305" s="22" t="s">
        <v>5649</v>
      </c>
      <c r="M305" s="23" t="s">
        <v>5637</v>
      </c>
    </row>
    <row r="306" spans="1:16" x14ac:dyDescent="0.25">
      <c r="A306" t="s">
        <v>2662</v>
      </c>
      <c r="D306" s="9">
        <f>Parameters!$D$19</f>
        <v>1E-4</v>
      </c>
      <c r="E306" s="9">
        <f>Parameters!$E$19</f>
        <v>1</v>
      </c>
      <c r="H306" s="9" t="s">
        <v>2663</v>
      </c>
      <c r="I306" s="9">
        <v>-2</v>
      </c>
      <c r="J306" s="9">
        <v>11</v>
      </c>
      <c r="L306" s="22" t="s">
        <v>5650</v>
      </c>
      <c r="M306" s="23" t="s">
        <v>5620</v>
      </c>
    </row>
    <row r="307" spans="1:16" x14ac:dyDescent="0.25">
      <c r="A307" t="s">
        <v>2664</v>
      </c>
      <c r="B307" s="9">
        <f>Parameters!$B$19</f>
        <v>1E-4</v>
      </c>
      <c r="C307" s="9">
        <f>Parameters!$C$19</f>
        <v>1</v>
      </c>
      <c r="D307" s="9">
        <f>Parameters!$D$19</f>
        <v>1E-4</v>
      </c>
      <c r="E307" s="9">
        <f>Parameters!$E$19</f>
        <v>1</v>
      </c>
      <c r="H307" s="9" t="s">
        <v>2665</v>
      </c>
      <c r="I307" s="9">
        <v>-2</v>
      </c>
      <c r="J307" s="9">
        <v>8</v>
      </c>
      <c r="L307" s="22" t="s">
        <v>5651</v>
      </c>
      <c r="M307" s="23" t="s">
        <v>5652</v>
      </c>
    </row>
    <row r="308" spans="1:16" x14ac:dyDescent="0.25">
      <c r="A308" t="s">
        <v>2666</v>
      </c>
      <c r="B308" s="9">
        <f>Parameters!$B$19</f>
        <v>1E-4</v>
      </c>
      <c r="C308" s="9">
        <f>Parameters!$C$19</f>
        <v>1</v>
      </c>
      <c r="D308" s="9">
        <f>Parameters!$D$19</f>
        <v>1E-4</v>
      </c>
      <c r="E308" s="9">
        <f>Parameters!$E$19</f>
        <v>1</v>
      </c>
      <c r="H308" s="9" t="s">
        <v>2667</v>
      </c>
      <c r="I308" s="9">
        <v>-1</v>
      </c>
      <c r="J308" s="9">
        <v>11</v>
      </c>
      <c r="L308" s="22" t="s">
        <v>5653</v>
      </c>
      <c r="M308" s="23" t="s">
        <v>5654</v>
      </c>
    </row>
    <row r="309" spans="1:16" x14ac:dyDescent="0.25">
      <c r="A309" t="s">
        <v>2668</v>
      </c>
      <c r="B309" s="9">
        <f>Parameters!$B$19</f>
        <v>1E-4</v>
      </c>
      <c r="C309" s="9">
        <f>Parameters!$C$19</f>
        <v>1</v>
      </c>
      <c r="D309" s="9">
        <f>Parameters!$D$19</f>
        <v>1E-4</v>
      </c>
      <c r="E309" s="9">
        <f>Parameters!$E$19</f>
        <v>1</v>
      </c>
      <c r="H309" s="9" t="s">
        <v>2669</v>
      </c>
      <c r="I309" s="9">
        <v>0</v>
      </c>
      <c r="J309" s="9">
        <v>14</v>
      </c>
      <c r="L309" s="22" t="s">
        <v>6233</v>
      </c>
      <c r="M309" s="24" t="s">
        <v>6234</v>
      </c>
      <c r="N309" s="24"/>
      <c r="P309" s="25"/>
    </row>
    <row r="310" spans="1:16" x14ac:dyDescent="0.25">
      <c r="A310" t="s">
        <v>2670</v>
      </c>
      <c r="D310" s="9">
        <f>Parameters!$D$19</f>
        <v>1E-4</v>
      </c>
      <c r="E310" s="9">
        <f>Parameters!$E$19</f>
        <v>1</v>
      </c>
      <c r="H310" s="9" t="s">
        <v>2671</v>
      </c>
      <c r="I310" s="9">
        <v>-2</v>
      </c>
      <c r="J310" s="9">
        <v>13</v>
      </c>
      <c r="L310" s="22" t="s">
        <v>6235</v>
      </c>
      <c r="M310" s="24" t="s">
        <v>6236</v>
      </c>
      <c r="N310" s="24"/>
      <c r="P310" s="25"/>
    </row>
    <row r="311" spans="1:16" x14ac:dyDescent="0.25">
      <c r="A311" t="s">
        <v>2672</v>
      </c>
      <c r="B311" s="9">
        <f>Parameters!$B$19</f>
        <v>1E-4</v>
      </c>
      <c r="C311" s="9">
        <f>Parameters!$C$19</f>
        <v>1</v>
      </c>
      <c r="D311" s="9">
        <f>Parameters!$D$19</f>
        <v>1E-4</v>
      </c>
      <c r="E311" s="9">
        <f>Parameters!$E$19</f>
        <v>1</v>
      </c>
      <c r="H311" s="9" t="s">
        <v>2673</v>
      </c>
      <c r="I311" s="9">
        <v>-1</v>
      </c>
      <c r="J311" s="9">
        <v>9</v>
      </c>
      <c r="L311" s="22" t="s">
        <v>5655</v>
      </c>
      <c r="M311" s="23" t="s">
        <v>5319</v>
      </c>
    </row>
    <row r="312" spans="1:16" x14ac:dyDescent="0.25">
      <c r="A312" t="s">
        <v>2674</v>
      </c>
      <c r="B312" s="9">
        <f>Parameters!$B$19</f>
        <v>1E-4</v>
      </c>
      <c r="C312" s="9">
        <f>Parameters!$C$19</f>
        <v>1</v>
      </c>
      <c r="D312" s="9">
        <f>Parameters!$D$19</f>
        <v>1E-4</v>
      </c>
      <c r="E312" s="9">
        <f>Parameters!$E$19</f>
        <v>1</v>
      </c>
      <c r="H312" s="9" t="s">
        <v>2675</v>
      </c>
      <c r="I312" s="9">
        <v>1</v>
      </c>
      <c r="J312" s="9">
        <v>14</v>
      </c>
      <c r="L312" s="22" t="s">
        <v>5656</v>
      </c>
      <c r="M312" s="23" t="s">
        <v>5657</v>
      </c>
    </row>
    <row r="313" spans="1:16" x14ac:dyDescent="0.25">
      <c r="A313" t="s">
        <v>2676</v>
      </c>
      <c r="D313" s="9">
        <f>Parameters!$D$19</f>
        <v>1E-4</v>
      </c>
      <c r="E313" s="9">
        <f>Parameters!$E$19</f>
        <v>1</v>
      </c>
      <c r="H313" s="9" t="s">
        <v>2677</v>
      </c>
      <c r="I313" s="9">
        <v>-1</v>
      </c>
      <c r="J313" s="9">
        <v>13</v>
      </c>
      <c r="L313" s="22" t="s">
        <v>5658</v>
      </c>
      <c r="M313" s="23" t="s">
        <v>5659</v>
      </c>
    </row>
    <row r="314" spans="1:16" x14ac:dyDescent="0.25">
      <c r="A314" t="s">
        <v>2678</v>
      </c>
      <c r="D314" s="9">
        <f>Parameters!$D$19</f>
        <v>1E-4</v>
      </c>
      <c r="E314" s="9">
        <f>Parameters!$E$19</f>
        <v>1</v>
      </c>
      <c r="H314" s="9" t="s">
        <v>2679</v>
      </c>
      <c r="I314" s="9">
        <v>-1</v>
      </c>
      <c r="J314" s="9">
        <v>13</v>
      </c>
      <c r="L314" s="22" t="s">
        <v>5660</v>
      </c>
      <c r="M314" s="23" t="s">
        <v>5659</v>
      </c>
    </row>
    <row r="315" spans="1:16" x14ac:dyDescent="0.25">
      <c r="A315" t="s">
        <v>2680</v>
      </c>
      <c r="D315" s="9">
        <f>Parameters!$D$19</f>
        <v>1E-4</v>
      </c>
      <c r="E315" s="9">
        <f>Parameters!$E$19</f>
        <v>1</v>
      </c>
      <c r="H315" s="9" t="s">
        <v>2681</v>
      </c>
      <c r="I315" s="9">
        <v>-1</v>
      </c>
      <c r="J315" s="9">
        <v>14</v>
      </c>
      <c r="L315" s="22" t="s">
        <v>5661</v>
      </c>
      <c r="M315" s="23" t="s">
        <v>5662</v>
      </c>
    </row>
    <row r="316" spans="1:16" x14ac:dyDescent="0.25">
      <c r="A316" t="s">
        <v>2682</v>
      </c>
      <c r="B316" s="9">
        <f>Parameters!$B$19</f>
        <v>1E-4</v>
      </c>
      <c r="C316" s="9">
        <f>Parameters!$C$19</f>
        <v>1</v>
      </c>
      <c r="D316" s="9">
        <f>Parameters!$D$19</f>
        <v>1E-4</v>
      </c>
      <c r="E316" s="9">
        <f>Parameters!$E$19</f>
        <v>1</v>
      </c>
      <c r="H316" s="9" t="s">
        <v>2683</v>
      </c>
      <c r="I316" s="9">
        <v>0</v>
      </c>
      <c r="J316" s="9">
        <v>15</v>
      </c>
      <c r="L316" s="22" t="s">
        <v>6237</v>
      </c>
      <c r="M316" s="24" t="s">
        <v>6238</v>
      </c>
      <c r="N316" s="24"/>
      <c r="P316" s="25"/>
    </row>
    <row r="317" spans="1:16" x14ac:dyDescent="0.25">
      <c r="A317" t="s">
        <v>2684</v>
      </c>
      <c r="D317" s="9">
        <f>Parameters!$D$19</f>
        <v>1E-4</v>
      </c>
      <c r="E317" s="9">
        <f>Parameters!$E$19</f>
        <v>1</v>
      </c>
      <c r="H317" s="9" t="s">
        <v>2685</v>
      </c>
      <c r="I317" s="9">
        <v>0</v>
      </c>
      <c r="J317" s="9">
        <v>4</v>
      </c>
      <c r="L317" s="22" t="s">
        <v>5663</v>
      </c>
      <c r="M317" s="23" t="s">
        <v>5664</v>
      </c>
    </row>
    <row r="318" spans="1:16" x14ac:dyDescent="0.25">
      <c r="A318" t="s">
        <v>2686</v>
      </c>
      <c r="D318" s="9">
        <f>Parameters!$D$19</f>
        <v>1E-4</v>
      </c>
      <c r="E318" s="9">
        <f>Parameters!$E$19</f>
        <v>1</v>
      </c>
      <c r="H318" s="9" t="s">
        <v>2687</v>
      </c>
      <c r="I318" s="9">
        <v>-3</v>
      </c>
      <c r="J318" s="9">
        <v>12</v>
      </c>
      <c r="L318" s="22" t="s">
        <v>5665</v>
      </c>
      <c r="M318" s="23" t="s">
        <v>5666</v>
      </c>
    </row>
    <row r="319" spans="1:16" x14ac:dyDescent="0.25">
      <c r="A319" t="s">
        <v>2688</v>
      </c>
      <c r="D319" s="9">
        <f>Parameters!$D$19</f>
        <v>1E-4</v>
      </c>
      <c r="E319" s="9">
        <f>Parameters!$E$19</f>
        <v>1</v>
      </c>
      <c r="H319" s="9" t="s">
        <v>2689</v>
      </c>
      <c r="I319" s="9">
        <v>-2</v>
      </c>
      <c r="J319" s="9">
        <v>21</v>
      </c>
      <c r="L319" s="22" t="s">
        <v>6239</v>
      </c>
      <c r="M319" s="24" t="s">
        <v>6240</v>
      </c>
      <c r="N319" s="24"/>
      <c r="P319" s="25"/>
    </row>
    <row r="320" spans="1:16" x14ac:dyDescent="0.25">
      <c r="A320" t="s">
        <v>2690</v>
      </c>
      <c r="D320" s="9">
        <f>Parameters!$D$19</f>
        <v>1E-4</v>
      </c>
      <c r="E320" s="9">
        <f>Parameters!$E$19</f>
        <v>1</v>
      </c>
      <c r="H320" s="9" t="s">
        <v>2691</v>
      </c>
      <c r="I320" s="9">
        <v>-2</v>
      </c>
      <c r="J320" s="9">
        <v>23</v>
      </c>
      <c r="L320" s="22" t="s">
        <v>6241</v>
      </c>
      <c r="M320" s="24" t="s">
        <v>5449</v>
      </c>
      <c r="N320" s="24"/>
      <c r="P320" s="25"/>
    </row>
    <row r="321" spans="1:16" x14ac:dyDescent="0.25">
      <c r="A321" t="s">
        <v>2692</v>
      </c>
      <c r="D321" s="9">
        <f>Parameters!$D$19</f>
        <v>1E-4</v>
      </c>
      <c r="E321" s="9">
        <f>Parameters!$E$19</f>
        <v>1</v>
      </c>
      <c r="H321" s="9" t="s">
        <v>2693</v>
      </c>
      <c r="I321" s="9">
        <v>-2</v>
      </c>
      <c r="J321" s="9">
        <v>23</v>
      </c>
      <c r="L321" s="22" t="s">
        <v>6242</v>
      </c>
      <c r="M321" s="24" t="s">
        <v>6243</v>
      </c>
      <c r="N321" s="24"/>
      <c r="P321" s="25"/>
    </row>
    <row r="322" spans="1:16" x14ac:dyDescent="0.25">
      <c r="A322" t="s">
        <v>2694</v>
      </c>
      <c r="D322" s="9">
        <f>Parameters!$D$19</f>
        <v>1E-4</v>
      </c>
      <c r="E322" s="9">
        <f>Parameters!$E$19</f>
        <v>1</v>
      </c>
      <c r="H322" s="9" t="s">
        <v>2695</v>
      </c>
      <c r="I322" s="9">
        <v>-2</v>
      </c>
      <c r="J322" s="9">
        <v>21</v>
      </c>
      <c r="L322" s="22" t="s">
        <v>6244</v>
      </c>
      <c r="M322" s="24" t="s">
        <v>6240</v>
      </c>
      <c r="N322" s="24"/>
      <c r="P322" s="25"/>
    </row>
    <row r="323" spans="1:16" x14ac:dyDescent="0.25">
      <c r="A323" t="s">
        <v>2696</v>
      </c>
      <c r="B323" s="9">
        <f>Parameters!$B$19</f>
        <v>1E-4</v>
      </c>
      <c r="C323" s="9">
        <f>Parameters!$C$19</f>
        <v>1</v>
      </c>
      <c r="D323" s="9">
        <f>Parameters!$D$19</f>
        <v>1E-4</v>
      </c>
      <c r="E323" s="9">
        <f>Parameters!$E$19</f>
        <v>1</v>
      </c>
      <c r="H323" s="9" t="s">
        <v>2697</v>
      </c>
      <c r="I323" s="9">
        <v>0</v>
      </c>
      <c r="J323" s="9">
        <v>12</v>
      </c>
      <c r="L323" s="22" t="s">
        <v>5667</v>
      </c>
      <c r="M323" s="23" t="s">
        <v>5637</v>
      </c>
    </row>
    <row r="324" spans="1:16" x14ac:dyDescent="0.25">
      <c r="A324" t="s">
        <v>2698</v>
      </c>
      <c r="B324" s="9">
        <f>Parameters!$B$19</f>
        <v>1E-4</v>
      </c>
      <c r="C324" s="9">
        <f>Parameters!$C$19</f>
        <v>1</v>
      </c>
      <c r="D324" s="9">
        <f>Parameters!$D$19</f>
        <v>1E-4</v>
      </c>
      <c r="E324" s="9">
        <f>Parameters!$E$19</f>
        <v>1</v>
      </c>
      <c r="H324" s="9" t="s">
        <v>2699</v>
      </c>
      <c r="I324" s="9">
        <v>-1</v>
      </c>
      <c r="J324" s="9">
        <v>11</v>
      </c>
      <c r="L324" s="22" t="s">
        <v>5668</v>
      </c>
      <c r="M324" s="23" t="s">
        <v>5654</v>
      </c>
    </row>
    <row r="325" spans="1:16" x14ac:dyDescent="0.25">
      <c r="A325" t="s">
        <v>2700</v>
      </c>
      <c r="B325" s="9">
        <f>Parameters!$B$19</f>
        <v>1E-4</v>
      </c>
      <c r="C325" s="9">
        <f>Parameters!$C$19</f>
        <v>1</v>
      </c>
      <c r="D325" s="9">
        <f>Parameters!$D$19</f>
        <v>1E-4</v>
      </c>
      <c r="E325" s="9">
        <f>Parameters!$E$19</f>
        <v>1</v>
      </c>
      <c r="H325" s="9" t="s">
        <v>2701</v>
      </c>
      <c r="I325" s="9">
        <v>-2</v>
      </c>
      <c r="J325" s="9">
        <v>8</v>
      </c>
      <c r="L325" s="22" t="s">
        <v>5669</v>
      </c>
      <c r="M325" s="23" t="s">
        <v>5652</v>
      </c>
    </row>
    <row r="326" spans="1:16" x14ac:dyDescent="0.25">
      <c r="A326" t="s">
        <v>2702</v>
      </c>
      <c r="B326" s="9">
        <f>Parameters!$B$19</f>
        <v>1E-4</v>
      </c>
      <c r="C326" s="9">
        <f>Parameters!$C$19</f>
        <v>1</v>
      </c>
      <c r="D326" s="9">
        <f>Parameters!$D$19</f>
        <v>1E-4</v>
      </c>
      <c r="E326" s="9">
        <f>Parameters!$E$19</f>
        <v>1</v>
      </c>
      <c r="H326" s="9" t="s">
        <v>2703</v>
      </c>
      <c r="I326" s="9">
        <v>-1</v>
      </c>
      <c r="J326" s="9">
        <v>9</v>
      </c>
      <c r="L326" s="22" t="s">
        <v>5670</v>
      </c>
      <c r="M326" s="23" t="s">
        <v>5319</v>
      </c>
    </row>
    <row r="327" spans="1:16" x14ac:dyDescent="0.25">
      <c r="A327" t="s">
        <v>2704</v>
      </c>
      <c r="B327" s="9">
        <f>Parameters!$B$19</f>
        <v>1E-4</v>
      </c>
      <c r="C327" s="9">
        <f>Parameters!$C$19</f>
        <v>1</v>
      </c>
      <c r="D327" s="9">
        <f>Parameters!$D$19</f>
        <v>1E-4</v>
      </c>
      <c r="E327" s="9">
        <f>Parameters!$E$19</f>
        <v>1</v>
      </c>
      <c r="H327" s="9" t="s">
        <v>2705</v>
      </c>
      <c r="I327" s="9">
        <v>0</v>
      </c>
      <c r="J327" s="9">
        <v>10</v>
      </c>
      <c r="L327" s="22" t="s">
        <v>5671</v>
      </c>
      <c r="M327" s="23" t="s">
        <v>5672</v>
      </c>
    </row>
    <row r="328" spans="1:16" x14ac:dyDescent="0.25">
      <c r="A328" t="s">
        <v>2710</v>
      </c>
      <c r="D328" s="9">
        <f>Parameters!$D$19</f>
        <v>1E-4</v>
      </c>
      <c r="E328" s="9">
        <f>Parameters!$E$19</f>
        <v>1</v>
      </c>
      <c r="H328" s="9" t="s">
        <v>2711</v>
      </c>
      <c r="I328" s="9">
        <v>0</v>
      </c>
      <c r="J328" s="9">
        <v>9</v>
      </c>
      <c r="L328" s="22" t="s">
        <v>6245</v>
      </c>
      <c r="M328" s="24" t="s">
        <v>5676</v>
      </c>
      <c r="N328" s="24"/>
      <c r="P328" s="25"/>
    </row>
    <row r="329" spans="1:16" x14ac:dyDescent="0.25">
      <c r="A329" t="s">
        <v>2712</v>
      </c>
      <c r="D329" s="9">
        <f>Parameters!$D$19</f>
        <v>1E-4</v>
      </c>
      <c r="E329" s="9">
        <f>Parameters!$E$19</f>
        <v>1</v>
      </c>
      <c r="H329" s="9" t="s">
        <v>2713</v>
      </c>
      <c r="I329" s="9">
        <v>-2</v>
      </c>
      <c r="J329" s="9">
        <v>8</v>
      </c>
      <c r="L329" s="22" t="s">
        <v>5673</v>
      </c>
      <c r="M329" s="23" t="s">
        <v>5674</v>
      </c>
    </row>
    <row r="330" spans="1:16" x14ac:dyDescent="0.25">
      <c r="A330" t="s">
        <v>2714</v>
      </c>
      <c r="D330" s="9">
        <f>Parameters!$D$19</f>
        <v>1E-4</v>
      </c>
      <c r="E330" s="9">
        <f>Parameters!$E$19</f>
        <v>1</v>
      </c>
      <c r="H330" s="9" t="s">
        <v>2715</v>
      </c>
      <c r="I330" s="9">
        <v>0</v>
      </c>
      <c r="J330" s="9">
        <v>9</v>
      </c>
      <c r="L330" s="22" t="s">
        <v>5675</v>
      </c>
      <c r="M330" s="23" t="s">
        <v>5676</v>
      </c>
    </row>
    <row r="331" spans="1:16" x14ac:dyDescent="0.25">
      <c r="A331" t="s">
        <v>2716</v>
      </c>
      <c r="D331" s="9">
        <f>Parameters!$D$19</f>
        <v>1E-4</v>
      </c>
      <c r="E331" s="9">
        <f>Parameters!$E$19</f>
        <v>1</v>
      </c>
      <c r="H331" s="9" t="s">
        <v>2717</v>
      </c>
      <c r="I331" s="9">
        <v>-1</v>
      </c>
      <c r="J331" s="9">
        <v>13</v>
      </c>
      <c r="L331" s="22" t="s">
        <v>6246</v>
      </c>
      <c r="M331" s="24" t="s">
        <v>6247</v>
      </c>
      <c r="N331" s="24"/>
      <c r="P331" s="25"/>
    </row>
    <row r="332" spans="1:16" x14ac:dyDescent="0.25">
      <c r="A332" t="s">
        <v>2706</v>
      </c>
      <c r="D332" s="9">
        <f>Parameters!$D$19</f>
        <v>1E-4</v>
      </c>
      <c r="E332" s="9">
        <f>Parameters!$E$19</f>
        <v>1</v>
      </c>
      <c r="H332" s="9" t="s">
        <v>2707</v>
      </c>
      <c r="I332" s="9">
        <v>-1</v>
      </c>
      <c r="J332" s="9">
        <v>8</v>
      </c>
      <c r="L332" s="22" t="s">
        <v>5677</v>
      </c>
      <c r="M332" s="23" t="s">
        <v>5678</v>
      </c>
    </row>
    <row r="333" spans="1:16" x14ac:dyDescent="0.25">
      <c r="A333" t="s">
        <v>2708</v>
      </c>
      <c r="B333" s="9">
        <f>Parameters!$B$19</f>
        <v>1E-4</v>
      </c>
      <c r="C333" s="9">
        <f>Parameters!$C$19</f>
        <v>1</v>
      </c>
      <c r="D333" s="9">
        <f>Parameters!$D$19</f>
        <v>1E-4</v>
      </c>
      <c r="E333" s="9">
        <f>Parameters!$E$19</f>
        <v>1</v>
      </c>
      <c r="H333" s="9" t="s">
        <v>2709</v>
      </c>
      <c r="I333" s="9">
        <v>-1</v>
      </c>
      <c r="J333" s="9">
        <v>8</v>
      </c>
      <c r="L333" s="22" t="s">
        <v>5679</v>
      </c>
      <c r="M333" s="23" t="s">
        <v>5678</v>
      </c>
    </row>
    <row r="334" spans="1:16" x14ac:dyDescent="0.25">
      <c r="A334" t="s">
        <v>2718</v>
      </c>
      <c r="D334" s="9">
        <f>Parameters!$D$19</f>
        <v>1E-4</v>
      </c>
      <c r="E334" s="9">
        <f>Parameters!$E$19</f>
        <v>1</v>
      </c>
      <c r="H334" s="9" t="s">
        <v>2719</v>
      </c>
      <c r="I334" s="9">
        <v>0</v>
      </c>
      <c r="J334" s="9">
        <v>7</v>
      </c>
      <c r="L334" s="22" t="s">
        <v>6248</v>
      </c>
      <c r="M334" s="24" t="s">
        <v>6249</v>
      </c>
      <c r="N334" s="24"/>
      <c r="P334" s="25"/>
    </row>
    <row r="335" spans="1:16" x14ac:dyDescent="0.25">
      <c r="A335" t="s">
        <v>2720</v>
      </c>
      <c r="D335" s="9">
        <f>Parameters!$D$19</f>
        <v>1E-4</v>
      </c>
      <c r="E335" s="9">
        <f>Parameters!$E$19</f>
        <v>1</v>
      </c>
      <c r="H335" s="9" t="s">
        <v>2721</v>
      </c>
      <c r="I335" s="9">
        <v>-1</v>
      </c>
      <c r="J335" s="9">
        <v>1</v>
      </c>
      <c r="L335" s="22" t="s">
        <v>5680</v>
      </c>
      <c r="M335" s="23" t="s">
        <v>5681</v>
      </c>
    </row>
    <row r="336" spans="1:16" x14ac:dyDescent="0.25">
      <c r="A336" t="s">
        <v>2722</v>
      </c>
      <c r="B336" s="9">
        <f>Parameters!$B$19</f>
        <v>1E-4</v>
      </c>
      <c r="C336" s="9">
        <f>Parameters!$C$19</f>
        <v>1</v>
      </c>
      <c r="D336" s="9">
        <f>Parameters!$D$19</f>
        <v>1E-4</v>
      </c>
      <c r="E336" s="9">
        <f>Parameters!$E$19</f>
        <v>1</v>
      </c>
      <c r="H336" s="9" t="s">
        <v>2723</v>
      </c>
      <c r="I336" s="9">
        <v>0</v>
      </c>
      <c r="J336" s="9">
        <v>5</v>
      </c>
      <c r="L336" s="22" t="s">
        <v>5682</v>
      </c>
      <c r="M336" s="23" t="s">
        <v>5683</v>
      </c>
    </row>
    <row r="337" spans="1:16" x14ac:dyDescent="0.25">
      <c r="A337" t="s">
        <v>2724</v>
      </c>
      <c r="B337" s="9">
        <f>Parameters!$B$19</f>
        <v>1E-4</v>
      </c>
      <c r="C337" s="9">
        <f>Parameters!$C$19</f>
        <v>1</v>
      </c>
      <c r="D337" s="9">
        <f>Parameters!$D$19</f>
        <v>1E-4</v>
      </c>
      <c r="E337" s="9">
        <f>Parameters!$E$19</f>
        <v>1</v>
      </c>
      <c r="H337" s="9" t="s">
        <v>2725</v>
      </c>
      <c r="I337" s="9">
        <v>0</v>
      </c>
      <c r="J337" s="9">
        <v>6</v>
      </c>
      <c r="L337" s="22" t="s">
        <v>6250</v>
      </c>
      <c r="M337" s="24" t="s">
        <v>5568</v>
      </c>
      <c r="N337" s="24"/>
      <c r="P337" s="25"/>
    </row>
    <row r="338" spans="1:16" x14ac:dyDescent="0.25">
      <c r="A338" t="s">
        <v>2726</v>
      </c>
      <c r="B338" s="9">
        <f>Parameters!$B$19</f>
        <v>1E-4</v>
      </c>
      <c r="C338" s="9">
        <f>Parameters!$C$19</f>
        <v>1</v>
      </c>
      <c r="D338" s="9">
        <f>Parameters!$D$19</f>
        <v>1E-4</v>
      </c>
      <c r="E338" s="9">
        <f>Parameters!$E$19</f>
        <v>1</v>
      </c>
      <c r="H338" s="9" t="s">
        <v>2727</v>
      </c>
      <c r="I338" s="9">
        <v>0</v>
      </c>
      <c r="J338" s="9">
        <v>11</v>
      </c>
      <c r="L338" s="22" t="s">
        <v>5684</v>
      </c>
      <c r="M338" s="23" t="s">
        <v>5685</v>
      </c>
    </row>
    <row r="339" spans="1:16" x14ac:dyDescent="0.25">
      <c r="A339" t="s">
        <v>2728</v>
      </c>
      <c r="B339" s="9">
        <f>Parameters!$B$19</f>
        <v>1E-4</v>
      </c>
      <c r="C339" s="9">
        <f>Parameters!$C$19</f>
        <v>1</v>
      </c>
      <c r="D339" s="9">
        <f>Parameters!$D$19</f>
        <v>1E-4</v>
      </c>
      <c r="E339" s="9">
        <f>Parameters!$E$19</f>
        <v>1</v>
      </c>
      <c r="H339" s="9" t="s">
        <v>2729</v>
      </c>
      <c r="I339" s="9">
        <v>0</v>
      </c>
      <c r="J339" s="9">
        <v>8</v>
      </c>
      <c r="L339" s="22" t="s">
        <v>5686</v>
      </c>
      <c r="M339" s="23" t="s">
        <v>5687</v>
      </c>
    </row>
    <row r="340" spans="1:16" x14ac:dyDescent="0.25">
      <c r="A340" t="s">
        <v>2732</v>
      </c>
      <c r="B340" s="9">
        <f>Parameters!$B$19</f>
        <v>1E-4</v>
      </c>
      <c r="C340" s="9">
        <f>Parameters!$C$19</f>
        <v>1</v>
      </c>
      <c r="D340" s="9">
        <f>Parameters!$D$19</f>
        <v>1E-4</v>
      </c>
      <c r="E340" s="9">
        <f>Parameters!$E$19</f>
        <v>1</v>
      </c>
      <c r="H340" s="9" t="s">
        <v>2733</v>
      </c>
      <c r="I340" s="9">
        <v>-2</v>
      </c>
      <c r="J340" s="9">
        <v>7</v>
      </c>
      <c r="L340" s="22" t="s">
        <v>5688</v>
      </c>
      <c r="M340" s="23" t="s">
        <v>5689</v>
      </c>
    </row>
    <row r="341" spans="1:16" x14ac:dyDescent="0.25">
      <c r="A341" t="s">
        <v>2734</v>
      </c>
      <c r="B341" s="9">
        <f>Parameters!$B$19</f>
        <v>1E-4</v>
      </c>
      <c r="C341" s="9">
        <f>Parameters!$C$19</f>
        <v>1</v>
      </c>
      <c r="D341" s="9">
        <f>Parameters!$D$19</f>
        <v>1E-4</v>
      </c>
      <c r="E341" s="9">
        <f>Parameters!$E$19</f>
        <v>1</v>
      </c>
      <c r="H341" s="9" t="s">
        <v>2735</v>
      </c>
      <c r="I341" s="9">
        <v>-1</v>
      </c>
      <c r="J341" s="9">
        <v>3</v>
      </c>
      <c r="L341" s="22" t="s">
        <v>5690</v>
      </c>
      <c r="M341" s="23" t="s">
        <v>5691</v>
      </c>
    </row>
    <row r="342" spans="1:16" x14ac:dyDescent="0.25">
      <c r="A342" t="s">
        <v>2736</v>
      </c>
      <c r="D342" s="9">
        <f>Parameters!$D$19</f>
        <v>1E-4</v>
      </c>
      <c r="E342" s="9">
        <f>Parameters!$E$19</f>
        <v>1</v>
      </c>
      <c r="H342" s="9" t="s">
        <v>2737</v>
      </c>
      <c r="I342" s="9">
        <v>0</v>
      </c>
      <c r="J342" s="9">
        <v>42</v>
      </c>
      <c r="L342" s="22" t="s">
        <v>2736</v>
      </c>
      <c r="M342" s="23" t="s">
        <v>5692</v>
      </c>
    </row>
    <row r="343" spans="1:16" x14ac:dyDescent="0.25">
      <c r="A343" t="s">
        <v>2730</v>
      </c>
      <c r="D343" s="9">
        <f>Parameters!$D$19</f>
        <v>1E-4</v>
      </c>
      <c r="E343" s="9">
        <f>Parameters!$E$19</f>
        <v>1</v>
      </c>
      <c r="H343" s="9" t="s">
        <v>2731</v>
      </c>
      <c r="I343" s="9">
        <v>-1</v>
      </c>
      <c r="J343" s="9">
        <v>5</v>
      </c>
      <c r="L343" s="22" t="s">
        <v>5693</v>
      </c>
      <c r="M343" s="23" t="s">
        <v>5694</v>
      </c>
    </row>
    <row r="344" spans="1:16" x14ac:dyDescent="0.25">
      <c r="A344" t="s">
        <v>2738</v>
      </c>
      <c r="D344" s="9">
        <f>Parameters!$D$19</f>
        <v>1E-4</v>
      </c>
      <c r="E344" s="9">
        <f>Parameters!$E$19</f>
        <v>1</v>
      </c>
      <c r="H344" s="9" t="s">
        <v>2739</v>
      </c>
      <c r="I344" s="9">
        <v>-4</v>
      </c>
      <c r="J344" s="9">
        <v>12</v>
      </c>
      <c r="L344" s="22" t="s">
        <v>5695</v>
      </c>
      <c r="M344" s="23" t="s">
        <v>5696</v>
      </c>
    </row>
    <row r="345" spans="1:16" x14ac:dyDescent="0.25">
      <c r="A345" t="s">
        <v>2740</v>
      </c>
      <c r="D345" s="9">
        <f>Parameters!$D$19</f>
        <v>1E-4</v>
      </c>
      <c r="E345" s="9">
        <f>Parameters!$E$19</f>
        <v>1</v>
      </c>
      <c r="H345" s="9" t="s">
        <v>2741</v>
      </c>
      <c r="I345" s="9">
        <v>-2</v>
      </c>
      <c r="J345" s="9">
        <v>13</v>
      </c>
      <c r="L345" s="22" t="s">
        <v>5697</v>
      </c>
      <c r="M345" s="23" t="s">
        <v>5698</v>
      </c>
    </row>
    <row r="346" spans="1:16" x14ac:dyDescent="0.25">
      <c r="A346" t="s">
        <v>2742</v>
      </c>
      <c r="D346" s="9">
        <f>Parameters!$D$19</f>
        <v>1E-4</v>
      </c>
      <c r="E346" s="9">
        <f>Parameters!$E$19</f>
        <v>1</v>
      </c>
      <c r="H346" s="9" t="s">
        <v>2743</v>
      </c>
      <c r="I346" s="9">
        <v>-2</v>
      </c>
      <c r="J346" s="9">
        <v>13</v>
      </c>
      <c r="L346" s="22" t="s">
        <v>5699</v>
      </c>
      <c r="M346" s="23" t="s">
        <v>5698</v>
      </c>
    </row>
    <row r="347" spans="1:16" x14ac:dyDescent="0.25">
      <c r="A347" t="s">
        <v>2744</v>
      </c>
      <c r="D347" s="9">
        <f>Parameters!$D$19</f>
        <v>1E-4</v>
      </c>
      <c r="E347" s="9">
        <f>Parameters!$E$19</f>
        <v>1</v>
      </c>
      <c r="H347" s="9" t="s">
        <v>2745</v>
      </c>
      <c r="I347" s="9">
        <v>-2</v>
      </c>
      <c r="J347" s="9">
        <v>12</v>
      </c>
      <c r="L347" s="22" t="s">
        <v>5700</v>
      </c>
      <c r="M347" s="23" t="s">
        <v>5701</v>
      </c>
    </row>
    <row r="348" spans="1:16" x14ac:dyDescent="0.25">
      <c r="A348" t="s">
        <v>2746</v>
      </c>
      <c r="D348" s="9">
        <f>Parameters!$D$19</f>
        <v>1E-4</v>
      </c>
      <c r="E348" s="9">
        <f>Parameters!$E$19</f>
        <v>1</v>
      </c>
      <c r="H348" s="9" t="s">
        <v>2747</v>
      </c>
      <c r="I348" s="9">
        <v>-4</v>
      </c>
      <c r="J348" s="9">
        <v>24</v>
      </c>
      <c r="L348" s="22" t="s">
        <v>6251</v>
      </c>
      <c r="M348" s="24" t="s">
        <v>6252</v>
      </c>
      <c r="N348" s="24"/>
      <c r="P348" s="25"/>
    </row>
    <row r="349" spans="1:16" x14ac:dyDescent="0.25">
      <c r="A349" t="s">
        <v>2748</v>
      </c>
      <c r="D349" s="9">
        <f>Parameters!$D$19</f>
        <v>1E-4</v>
      </c>
      <c r="E349" s="9">
        <f>Parameters!$E$19</f>
        <v>1</v>
      </c>
      <c r="H349" s="9" t="s">
        <v>2749</v>
      </c>
      <c r="I349" s="9">
        <v>-3</v>
      </c>
      <c r="J349" s="9">
        <v>17</v>
      </c>
      <c r="L349" s="22" t="s">
        <v>6253</v>
      </c>
      <c r="M349" s="24" t="s">
        <v>6254</v>
      </c>
      <c r="N349" s="24"/>
      <c r="P349" s="25"/>
    </row>
    <row r="350" spans="1:16" x14ac:dyDescent="0.25">
      <c r="A350" t="s">
        <v>2750</v>
      </c>
      <c r="B350" s="9">
        <f>Parameters!$B$19</f>
        <v>1E-4</v>
      </c>
      <c r="C350" s="9">
        <f>Parameters!$C$19</f>
        <v>1</v>
      </c>
      <c r="D350" s="9">
        <f>Parameters!$D$19</f>
        <v>1E-4</v>
      </c>
      <c r="E350" s="9">
        <f>Parameters!$E$19</f>
        <v>1</v>
      </c>
      <c r="H350" s="9" t="s">
        <v>2751</v>
      </c>
      <c r="I350" s="9">
        <v>0</v>
      </c>
      <c r="J350" s="9">
        <v>13</v>
      </c>
      <c r="L350" s="22" t="s">
        <v>5702</v>
      </c>
      <c r="M350" s="23" t="s">
        <v>5703</v>
      </c>
    </row>
    <row r="351" spans="1:16" x14ac:dyDescent="0.25">
      <c r="A351" t="s">
        <v>2752</v>
      </c>
      <c r="D351" s="9">
        <f>Parameters!$D$19</f>
        <v>1E-4</v>
      </c>
      <c r="E351" s="9">
        <f>Parameters!$E$19</f>
        <v>1</v>
      </c>
      <c r="H351" s="9" t="s">
        <v>2753</v>
      </c>
      <c r="I351" s="9">
        <v>-2</v>
      </c>
      <c r="J351" s="9">
        <v>30</v>
      </c>
      <c r="L351" s="22" t="s">
        <v>6255</v>
      </c>
      <c r="M351" s="24" t="s">
        <v>6256</v>
      </c>
      <c r="N351" s="24"/>
      <c r="P351" s="25"/>
    </row>
    <row r="352" spans="1:16" x14ac:dyDescent="0.25">
      <c r="A352" t="s">
        <v>2754</v>
      </c>
      <c r="D352" s="9">
        <f>Parameters!$D$19</f>
        <v>1E-4</v>
      </c>
      <c r="E352" s="9">
        <f>Parameters!$E$19</f>
        <v>1</v>
      </c>
      <c r="H352" s="9" t="s">
        <v>2755</v>
      </c>
      <c r="I352" s="9">
        <v>-1</v>
      </c>
      <c r="J352" s="9">
        <v>16</v>
      </c>
      <c r="L352" s="22" t="s">
        <v>5704</v>
      </c>
      <c r="M352" s="23" t="s">
        <v>5705</v>
      </c>
    </row>
    <row r="353" spans="1:16" x14ac:dyDescent="0.25">
      <c r="A353" t="s">
        <v>2756</v>
      </c>
      <c r="D353" s="9">
        <f>Parameters!$D$19</f>
        <v>1E-4</v>
      </c>
      <c r="E353" s="9">
        <f>Parameters!$E$19</f>
        <v>1</v>
      </c>
      <c r="H353" s="9" t="s">
        <v>2757</v>
      </c>
      <c r="I353" s="9">
        <v>-4</v>
      </c>
      <c r="J353" s="9">
        <v>12</v>
      </c>
      <c r="L353" s="22" t="s">
        <v>5706</v>
      </c>
      <c r="M353" s="23" t="s">
        <v>5707</v>
      </c>
    </row>
    <row r="354" spans="1:16" x14ac:dyDescent="0.25">
      <c r="A354" t="s">
        <v>2758</v>
      </c>
      <c r="D354" s="9">
        <f>Parameters!$D$19</f>
        <v>1E-4</v>
      </c>
      <c r="E354" s="9">
        <f>Parameters!$E$19</f>
        <v>1</v>
      </c>
      <c r="H354" s="9" t="s">
        <v>2759</v>
      </c>
      <c r="I354" s="9">
        <v>2</v>
      </c>
      <c r="J354" s="9">
        <v>36</v>
      </c>
      <c r="L354" s="22" t="s">
        <v>5708</v>
      </c>
      <c r="M354" s="23" t="s">
        <v>5709</v>
      </c>
    </row>
    <row r="355" spans="1:16" x14ac:dyDescent="0.25">
      <c r="A355" t="s">
        <v>2760</v>
      </c>
      <c r="B355" s="9">
        <f>Parameters!$B$19</f>
        <v>1E-4</v>
      </c>
      <c r="C355" s="9">
        <f>Parameters!$C$19</f>
        <v>1</v>
      </c>
      <c r="D355" s="9">
        <f>Parameters!$D$19</f>
        <v>1E-4</v>
      </c>
      <c r="E355" s="9">
        <f>Parameters!$E$19</f>
        <v>1</v>
      </c>
      <c r="H355" s="9" t="s">
        <v>2761</v>
      </c>
      <c r="I355" s="9">
        <v>0</v>
      </c>
      <c r="J355" s="9">
        <v>5</v>
      </c>
      <c r="L355" s="22" t="s">
        <v>5710</v>
      </c>
      <c r="M355" s="23" t="s">
        <v>5711</v>
      </c>
    </row>
    <row r="356" spans="1:16" x14ac:dyDescent="0.25">
      <c r="A356" t="s">
        <v>3307</v>
      </c>
      <c r="B356" s="9">
        <f>EXP(Parameters!$B$26*SQRT(Parameters!$B$9)/(1+Parameters!$B$27*SQRT(Parameters!$B$9))+LN(POWER(10,-Parameters!$B$8)))*1000</f>
        <v>1.3676323053056464E-4</v>
      </c>
      <c r="C356" s="9">
        <f>EXP(Parameters!$B$26*SQRT(Parameters!$B$9)/(1+Parameters!$B$27*SQRT(Parameters!$B$9))+LN(POWER(10,-Parameters!$B$8)))*1000</f>
        <v>1.3676323053056464E-4</v>
      </c>
      <c r="D356" s="9">
        <f>EXP(Parameters!$B$26*SQRT(Parameters!$C$9)/(1+Parameters!$B$27*SQRT(Parameters!$C$9))+LN(POWER(10,-Parameters!$C$8)))*1000</f>
        <v>3.3475139490289389E-5</v>
      </c>
      <c r="E356" s="9">
        <f>EXP(Parameters!$B$26*SQRT(Parameters!$C$9)/(1+Parameters!$B$27*SQRT(Parameters!$C$9))+LN(POWER(10,-Parameters!$C$8)))*1000</f>
        <v>3.3475139490289389E-5</v>
      </c>
      <c r="H356" s="9" t="s">
        <v>3308</v>
      </c>
      <c r="I356" s="9">
        <v>1</v>
      </c>
      <c r="J356" s="9">
        <v>1</v>
      </c>
      <c r="L356" s="22" t="s">
        <v>5712</v>
      </c>
      <c r="M356" s="23" t="s">
        <v>5713</v>
      </c>
    </row>
    <row r="357" spans="1:16" x14ac:dyDescent="0.25">
      <c r="A357" t="s">
        <v>2762</v>
      </c>
      <c r="B357" s="9">
        <f>Parameters!$B$19</f>
        <v>1E-4</v>
      </c>
      <c r="C357" s="9">
        <f>Parameters!$C$19</f>
        <v>1</v>
      </c>
      <c r="D357" s="9">
        <f>Parameters!$D$19</f>
        <v>1E-4</v>
      </c>
      <c r="E357" s="9">
        <f>Parameters!$E$19</f>
        <v>1</v>
      </c>
      <c r="H357" s="9" t="s">
        <v>2763</v>
      </c>
      <c r="I357" s="9">
        <v>0</v>
      </c>
      <c r="J357" s="9">
        <v>2</v>
      </c>
      <c r="L357" s="22" t="s">
        <v>5714</v>
      </c>
      <c r="M357" s="23" t="s">
        <v>5714</v>
      </c>
    </row>
    <row r="358" spans="1:16" x14ac:dyDescent="0.25">
      <c r="A358" t="s">
        <v>2764</v>
      </c>
      <c r="D358" s="9">
        <f>Parameters!$D$19</f>
        <v>1E-4</v>
      </c>
      <c r="E358" s="9">
        <f>Parameters!$E$19</f>
        <v>1</v>
      </c>
      <c r="H358" s="9" t="s">
        <v>2765</v>
      </c>
      <c r="I358" s="9">
        <v>-3</v>
      </c>
      <c r="J358" s="9">
        <v>9</v>
      </c>
      <c r="L358" s="22" t="s">
        <v>5715</v>
      </c>
      <c r="M358" s="23" t="s">
        <v>5716</v>
      </c>
    </row>
    <row r="359" spans="1:16" x14ac:dyDescent="0.25">
      <c r="A359" t="s">
        <v>2766</v>
      </c>
      <c r="B359" s="9">
        <v>1000</v>
      </c>
      <c r="C359" s="9">
        <v>1000</v>
      </c>
      <c r="D359" s="9">
        <v>1000</v>
      </c>
      <c r="E359" s="9">
        <v>1000</v>
      </c>
      <c r="H359" s="9" t="s">
        <v>2767</v>
      </c>
      <c r="I359" s="9">
        <v>0</v>
      </c>
      <c r="J359" s="9">
        <v>2</v>
      </c>
      <c r="L359" s="22" t="s">
        <v>5717</v>
      </c>
      <c r="M359" s="23" t="s">
        <v>5717</v>
      </c>
    </row>
    <row r="360" spans="1:16" x14ac:dyDescent="0.25">
      <c r="A360" t="s">
        <v>2768</v>
      </c>
      <c r="D360" s="9">
        <f>Parameters!$D$19</f>
        <v>1E-4</v>
      </c>
      <c r="E360" s="9">
        <f>Parameters!$E$19</f>
        <v>1</v>
      </c>
      <c r="H360" s="9" t="s">
        <v>2769</v>
      </c>
      <c r="I360" s="9">
        <v>0</v>
      </c>
      <c r="J360" s="9">
        <v>2</v>
      </c>
      <c r="L360" s="22" t="s">
        <v>5718</v>
      </c>
      <c r="M360" s="23" t="s">
        <v>5719</v>
      </c>
    </row>
    <row r="361" spans="1:16" x14ac:dyDescent="0.25">
      <c r="A361" t="s">
        <v>2770</v>
      </c>
      <c r="D361" s="9">
        <f>Parameters!$D$19</f>
        <v>1E-4</v>
      </c>
      <c r="E361" s="9">
        <f>Parameters!$E$19</f>
        <v>1</v>
      </c>
      <c r="H361" s="9" t="s">
        <v>2771</v>
      </c>
      <c r="I361" s="9">
        <v>0</v>
      </c>
      <c r="J361" s="9">
        <v>2</v>
      </c>
      <c r="L361" s="22" t="s">
        <v>5720</v>
      </c>
      <c r="M361" s="23" t="s">
        <v>5721</v>
      </c>
    </row>
    <row r="362" spans="1:16" x14ac:dyDescent="0.25">
      <c r="A362" t="s">
        <v>2772</v>
      </c>
      <c r="D362" s="9">
        <f>Parameters!$D$19</f>
        <v>1E-4</v>
      </c>
      <c r="E362" s="9">
        <f>Parameters!$E$19</f>
        <v>1</v>
      </c>
      <c r="H362" s="9" t="s">
        <v>2773</v>
      </c>
      <c r="I362" s="9">
        <v>0</v>
      </c>
      <c r="J362" s="9">
        <v>9</v>
      </c>
      <c r="L362" s="22" t="s">
        <v>5722</v>
      </c>
      <c r="M362" s="23" t="s">
        <v>5723</v>
      </c>
    </row>
    <row r="363" spans="1:16" x14ac:dyDescent="0.25">
      <c r="A363" t="s">
        <v>2774</v>
      </c>
      <c r="B363" s="9">
        <f>Parameters!$B$19</f>
        <v>1E-4</v>
      </c>
      <c r="C363" s="9">
        <f>Parameters!$C$19</f>
        <v>1</v>
      </c>
      <c r="D363" s="9">
        <f>Parameters!$D$19</f>
        <v>1E-4</v>
      </c>
      <c r="E363" s="9">
        <f>Parameters!$E$19</f>
        <v>1</v>
      </c>
      <c r="H363" s="9" t="s">
        <v>2775</v>
      </c>
      <c r="I363" s="9">
        <v>-1</v>
      </c>
      <c r="J363" s="9">
        <v>31</v>
      </c>
      <c r="L363" s="22" t="s">
        <v>5724</v>
      </c>
      <c r="M363" s="23" t="s">
        <v>5725</v>
      </c>
    </row>
    <row r="364" spans="1:16" x14ac:dyDescent="0.25">
      <c r="A364" t="s">
        <v>2776</v>
      </c>
      <c r="D364" s="9">
        <f>Parameters!$D$19</f>
        <v>1E-4</v>
      </c>
      <c r="E364" s="9">
        <f>Parameters!$E$19</f>
        <v>1</v>
      </c>
      <c r="H364" s="9" t="s">
        <v>2777</v>
      </c>
      <c r="I364" s="9">
        <v>-1</v>
      </c>
      <c r="J364" s="9">
        <v>29</v>
      </c>
      <c r="L364" s="22" t="s">
        <v>5726</v>
      </c>
      <c r="M364" s="23" t="s">
        <v>5727</v>
      </c>
    </row>
    <row r="365" spans="1:16" x14ac:dyDescent="0.25">
      <c r="A365" t="s">
        <v>2778</v>
      </c>
      <c r="D365" s="9">
        <f>Parameters!$D$19</f>
        <v>1E-4</v>
      </c>
      <c r="E365" s="9">
        <f>Parameters!$E$19</f>
        <v>1</v>
      </c>
      <c r="H365" s="9" t="s">
        <v>2779</v>
      </c>
      <c r="I365" s="9">
        <v>-1</v>
      </c>
      <c r="J365" s="9">
        <v>49</v>
      </c>
      <c r="L365" s="22" t="s">
        <v>5728</v>
      </c>
      <c r="M365" s="23" t="s">
        <v>5729</v>
      </c>
    </row>
    <row r="366" spans="1:16" x14ac:dyDescent="0.25">
      <c r="A366" t="s">
        <v>2780</v>
      </c>
      <c r="D366" s="9">
        <f>Parameters!$D$19</f>
        <v>1E-4</v>
      </c>
      <c r="E366" s="9">
        <f>Parameters!$E$19</f>
        <v>1</v>
      </c>
      <c r="H366" s="9" t="s">
        <v>2781</v>
      </c>
      <c r="I366" s="9">
        <v>-2</v>
      </c>
      <c r="J366" s="9">
        <v>56</v>
      </c>
      <c r="L366" s="22" t="s">
        <v>6257</v>
      </c>
      <c r="M366" s="24" t="s">
        <v>6258</v>
      </c>
      <c r="N366" s="24"/>
      <c r="P366" s="25"/>
    </row>
    <row r="367" spans="1:16" x14ac:dyDescent="0.25">
      <c r="A367" t="s">
        <v>2782</v>
      </c>
      <c r="B367" s="9">
        <f>Parameters!$B$19</f>
        <v>1E-4</v>
      </c>
      <c r="C367" s="9">
        <f>Parameters!$C$19</f>
        <v>1</v>
      </c>
      <c r="D367" s="9">
        <f>Parameters!$D$19</f>
        <v>1E-4</v>
      </c>
      <c r="E367" s="9">
        <f>Parameters!$E$19</f>
        <v>1</v>
      </c>
      <c r="H367" s="9" t="s">
        <v>2783</v>
      </c>
      <c r="I367" s="9">
        <v>0</v>
      </c>
      <c r="J367" s="9">
        <v>9</v>
      </c>
      <c r="L367" s="22" t="s">
        <v>5730</v>
      </c>
      <c r="M367" s="23" t="s">
        <v>5731</v>
      </c>
    </row>
    <row r="368" spans="1:16" x14ac:dyDescent="0.25">
      <c r="A368" t="s">
        <v>2784</v>
      </c>
      <c r="D368" s="9">
        <f>Parameters!$D$19</f>
        <v>1E-4</v>
      </c>
      <c r="E368" s="9">
        <f>Parameters!$E$19</f>
        <v>1</v>
      </c>
      <c r="H368" s="9" t="s">
        <v>2785</v>
      </c>
      <c r="I368" s="9">
        <v>-1</v>
      </c>
      <c r="J368" s="9">
        <v>11</v>
      </c>
      <c r="L368" s="22" t="s">
        <v>5732</v>
      </c>
      <c r="M368" s="23" t="s">
        <v>5733</v>
      </c>
    </row>
    <row r="369" spans="1:16" x14ac:dyDescent="0.25">
      <c r="A369" t="s">
        <v>2786</v>
      </c>
      <c r="D369" s="9">
        <f>Parameters!$D$19</f>
        <v>1E-4</v>
      </c>
      <c r="E369" s="9">
        <f>Parameters!$E$19</f>
        <v>1</v>
      </c>
      <c r="H369" s="9" t="s">
        <v>2787</v>
      </c>
      <c r="I369" s="9">
        <v>1</v>
      </c>
      <c r="J369" s="9">
        <v>12</v>
      </c>
      <c r="L369" s="22" t="s">
        <v>5734</v>
      </c>
      <c r="M369" s="23" t="s">
        <v>5735</v>
      </c>
    </row>
    <row r="370" spans="1:16" x14ac:dyDescent="0.25">
      <c r="A370" t="s">
        <v>2788</v>
      </c>
      <c r="D370" s="9">
        <f>Parameters!$D$19</f>
        <v>1E-4</v>
      </c>
      <c r="E370" s="9">
        <f>Parameters!$E$19</f>
        <v>1</v>
      </c>
      <c r="H370" s="9" t="s">
        <v>2789</v>
      </c>
      <c r="I370" s="10">
        <v>-2</v>
      </c>
      <c r="J370" s="9">
        <v>8</v>
      </c>
      <c r="L370" s="22" t="s">
        <v>6259</v>
      </c>
      <c r="M370" s="24" t="s">
        <v>6260</v>
      </c>
      <c r="N370" s="24"/>
      <c r="P370" s="25"/>
    </row>
    <row r="371" spans="1:16" x14ac:dyDescent="0.25">
      <c r="A371" t="s">
        <v>2790</v>
      </c>
      <c r="D371" s="9">
        <f>Parameters!$D$19</f>
        <v>1E-4</v>
      </c>
      <c r="E371" s="9">
        <f>Parameters!$E$19</f>
        <v>1</v>
      </c>
      <c r="H371" s="9" t="s">
        <v>2791</v>
      </c>
      <c r="I371" s="10">
        <v>-2</v>
      </c>
      <c r="J371" s="9">
        <v>6</v>
      </c>
      <c r="L371" s="22" t="s">
        <v>6261</v>
      </c>
      <c r="M371" s="24" t="s">
        <v>6262</v>
      </c>
      <c r="N371" s="24"/>
      <c r="P371" s="25"/>
    </row>
    <row r="372" spans="1:16" x14ac:dyDescent="0.25">
      <c r="A372" t="s">
        <v>2792</v>
      </c>
      <c r="D372" s="9">
        <f>Parameters!$D$19</f>
        <v>1E-4</v>
      </c>
      <c r="E372" s="9">
        <f>Parameters!$E$19</f>
        <v>1</v>
      </c>
      <c r="H372" s="9" t="s">
        <v>2793</v>
      </c>
      <c r="I372" s="9">
        <v>-8</v>
      </c>
      <c r="J372" s="9">
        <v>38</v>
      </c>
      <c r="L372" s="22" t="s">
        <v>6263</v>
      </c>
      <c r="M372" s="24" t="s">
        <v>6264</v>
      </c>
      <c r="N372" s="24"/>
      <c r="P372" s="25"/>
    </row>
    <row r="373" spans="1:16" x14ac:dyDescent="0.25">
      <c r="A373" t="s">
        <v>2794</v>
      </c>
      <c r="D373" s="9">
        <f>Parameters!$D$19</f>
        <v>1E-4</v>
      </c>
      <c r="E373" s="9">
        <f>Parameters!$E$19</f>
        <v>1</v>
      </c>
      <c r="H373" s="9" t="s">
        <v>2795</v>
      </c>
      <c r="I373" s="9">
        <v>0</v>
      </c>
      <c r="J373" s="9">
        <v>6</v>
      </c>
      <c r="L373" s="22" t="s">
        <v>6265</v>
      </c>
      <c r="M373" s="24" t="s">
        <v>6266</v>
      </c>
      <c r="N373" s="24"/>
      <c r="P373" s="25"/>
    </row>
    <row r="374" spans="1:16" x14ac:dyDescent="0.25">
      <c r="A374" t="s">
        <v>2796</v>
      </c>
      <c r="D374" s="9">
        <f>Parameters!$D$19</f>
        <v>1E-4</v>
      </c>
      <c r="E374" s="9">
        <f>Parameters!$E$19</f>
        <v>1</v>
      </c>
      <c r="H374" s="9" t="s">
        <v>2797</v>
      </c>
      <c r="I374" s="9">
        <v>0</v>
      </c>
      <c r="J374" s="9">
        <v>9</v>
      </c>
      <c r="L374" s="22" t="s">
        <v>5736</v>
      </c>
      <c r="M374" s="23" t="s">
        <v>5737</v>
      </c>
    </row>
    <row r="375" spans="1:16" x14ac:dyDescent="0.25">
      <c r="A375" t="s">
        <v>2798</v>
      </c>
      <c r="D375" s="9">
        <f>Parameters!$D$19</f>
        <v>1E-4</v>
      </c>
      <c r="E375" s="9">
        <f>Parameters!$E$19</f>
        <v>1</v>
      </c>
      <c r="H375" s="9" t="s">
        <v>2799</v>
      </c>
      <c r="I375" s="9">
        <v>-1</v>
      </c>
      <c r="J375" s="9">
        <v>3</v>
      </c>
      <c r="L375" s="22" t="s">
        <v>5738</v>
      </c>
      <c r="M375" s="23" t="s">
        <v>5330</v>
      </c>
    </row>
    <row r="376" spans="1:16" x14ac:dyDescent="0.25">
      <c r="A376" t="s">
        <v>2800</v>
      </c>
      <c r="D376" s="9">
        <f>Parameters!$D$19</f>
        <v>1E-4</v>
      </c>
      <c r="E376" s="9">
        <f>Parameters!$E$19</f>
        <v>1</v>
      </c>
      <c r="H376" s="9" t="s">
        <v>2801</v>
      </c>
      <c r="I376" s="9">
        <v>0</v>
      </c>
      <c r="J376" s="9">
        <v>6</v>
      </c>
      <c r="L376" s="22" t="s">
        <v>6267</v>
      </c>
      <c r="M376" s="24" t="s">
        <v>6268</v>
      </c>
      <c r="N376" s="24"/>
      <c r="P376" s="25"/>
    </row>
    <row r="377" spans="1:16" x14ac:dyDescent="0.25">
      <c r="A377" t="s">
        <v>2802</v>
      </c>
      <c r="B377" s="9">
        <f>Parameters!$B$19</f>
        <v>1E-4</v>
      </c>
      <c r="C377" s="9">
        <f>Parameters!$C$19</f>
        <v>1</v>
      </c>
      <c r="D377" s="9">
        <f>Parameters!$D$19</f>
        <v>1E-4</v>
      </c>
      <c r="E377" s="9">
        <f>Parameters!$E$19</f>
        <v>1</v>
      </c>
      <c r="H377" s="9" t="s">
        <v>2803</v>
      </c>
      <c r="I377" s="9">
        <v>0</v>
      </c>
      <c r="J377" s="9">
        <v>4</v>
      </c>
      <c r="L377" s="22" t="s">
        <v>5739</v>
      </c>
      <c r="M377" s="23" t="s">
        <v>5740</v>
      </c>
    </row>
    <row r="378" spans="1:16" x14ac:dyDescent="0.25">
      <c r="A378" t="s">
        <v>2804</v>
      </c>
      <c r="D378" s="9">
        <f>Parameters!$D$19</f>
        <v>1E-4</v>
      </c>
      <c r="E378" s="9">
        <f>Parameters!$E$19</f>
        <v>1</v>
      </c>
      <c r="H378" s="9" t="s">
        <v>2805</v>
      </c>
      <c r="I378" s="9">
        <v>-2</v>
      </c>
      <c r="J378" s="9">
        <v>3</v>
      </c>
      <c r="L378" s="22" t="s">
        <v>5741</v>
      </c>
      <c r="M378" s="23" t="s">
        <v>5742</v>
      </c>
    </row>
    <row r="379" spans="1:16" x14ac:dyDescent="0.25">
      <c r="A379" t="s">
        <v>2806</v>
      </c>
      <c r="D379" s="9">
        <f>Parameters!$D$19</f>
        <v>1E-4</v>
      </c>
      <c r="E379" s="9">
        <f>Parameters!$E$19</f>
        <v>1</v>
      </c>
      <c r="H379" s="9" t="s">
        <v>2807</v>
      </c>
      <c r="I379" s="9">
        <v>-2</v>
      </c>
      <c r="J379" s="9">
        <v>8</v>
      </c>
      <c r="L379" s="22" t="s">
        <v>6269</v>
      </c>
      <c r="M379" s="24" t="s">
        <v>5516</v>
      </c>
      <c r="N379" s="24"/>
      <c r="P379" s="25"/>
    </row>
    <row r="380" spans="1:16" x14ac:dyDescent="0.25">
      <c r="A380" t="s">
        <v>2808</v>
      </c>
      <c r="D380" s="9">
        <f>Parameters!$D$19</f>
        <v>1E-4</v>
      </c>
      <c r="E380" s="9">
        <f>Parameters!$E$19</f>
        <v>1</v>
      </c>
      <c r="H380" s="9" t="s">
        <v>2809</v>
      </c>
      <c r="I380" s="9">
        <v>-3</v>
      </c>
      <c r="J380" s="9">
        <v>5</v>
      </c>
      <c r="L380" s="22" t="s">
        <v>5743</v>
      </c>
      <c r="M380" s="23" t="s">
        <v>5518</v>
      </c>
    </row>
    <row r="381" spans="1:16" x14ac:dyDescent="0.25">
      <c r="A381" t="s">
        <v>2810</v>
      </c>
      <c r="B381" s="9">
        <f>Parameters!$B$19</f>
        <v>1E-4</v>
      </c>
      <c r="C381" s="9">
        <f>Parameters!$C$19</f>
        <v>1</v>
      </c>
      <c r="D381" s="9">
        <f>Parameters!$D$19</f>
        <v>1E-4</v>
      </c>
      <c r="E381" s="9">
        <f>Parameters!$E$19</f>
        <v>1</v>
      </c>
      <c r="H381" s="9" t="s">
        <v>2811</v>
      </c>
      <c r="I381" s="9">
        <v>-1</v>
      </c>
      <c r="J381" s="9">
        <v>11</v>
      </c>
      <c r="L381" s="22" t="s">
        <v>5744</v>
      </c>
      <c r="M381" s="23" t="s">
        <v>5654</v>
      </c>
    </row>
    <row r="382" spans="1:16" x14ac:dyDescent="0.25">
      <c r="A382" t="s">
        <v>2812</v>
      </c>
      <c r="D382" s="9">
        <f>Parameters!$D$19</f>
        <v>1E-4</v>
      </c>
      <c r="E382" s="9">
        <f>Parameters!$E$19</f>
        <v>1</v>
      </c>
      <c r="H382" s="9" t="s">
        <v>2813</v>
      </c>
      <c r="I382" s="9">
        <v>-3</v>
      </c>
      <c r="J382" s="9">
        <v>11</v>
      </c>
      <c r="L382" s="22" t="s">
        <v>6270</v>
      </c>
      <c r="M382" s="24" t="s">
        <v>6271</v>
      </c>
      <c r="N382" s="24"/>
      <c r="P382" s="25"/>
    </row>
    <row r="383" spans="1:16" x14ac:dyDescent="0.25">
      <c r="A383" t="s">
        <v>2814</v>
      </c>
      <c r="B383" s="9">
        <f>Parameters!$B$19</f>
        <v>1E-4</v>
      </c>
      <c r="C383" s="9">
        <f>Parameters!$C$19</f>
        <v>1</v>
      </c>
      <c r="D383" s="9">
        <f>Parameters!$D$19</f>
        <v>1E-4</v>
      </c>
      <c r="E383" s="9">
        <f>Parameters!$E$19</f>
        <v>1</v>
      </c>
      <c r="H383" s="9" t="s">
        <v>2815</v>
      </c>
      <c r="I383" s="9">
        <v>0</v>
      </c>
      <c r="J383" s="9">
        <v>13</v>
      </c>
      <c r="L383" s="22" t="s">
        <v>5745</v>
      </c>
      <c r="M383" s="23" t="s">
        <v>5746</v>
      </c>
    </row>
    <row r="384" spans="1:16" x14ac:dyDescent="0.25">
      <c r="A384" t="s">
        <v>2816</v>
      </c>
      <c r="D384" s="9">
        <f>Parameters!$D$19</f>
        <v>1E-4</v>
      </c>
      <c r="E384" s="9">
        <f>Parameters!$E$19</f>
        <v>1</v>
      </c>
      <c r="H384" s="9" t="s">
        <v>2817</v>
      </c>
      <c r="I384" s="9">
        <v>-2</v>
      </c>
      <c r="J384" s="9">
        <v>7</v>
      </c>
      <c r="L384" s="22" t="s">
        <v>5747</v>
      </c>
      <c r="M384" s="23" t="s">
        <v>5748</v>
      </c>
    </row>
    <row r="385" spans="1:16" x14ac:dyDescent="0.25">
      <c r="A385" t="s">
        <v>2818</v>
      </c>
      <c r="D385" s="9">
        <f>Parameters!$D$19</f>
        <v>1E-4</v>
      </c>
      <c r="E385" s="9">
        <f>Parameters!$E$19</f>
        <v>1</v>
      </c>
      <c r="H385" s="9" t="s">
        <v>2819</v>
      </c>
      <c r="I385" s="9">
        <v>-2</v>
      </c>
      <c r="J385" s="9">
        <v>11</v>
      </c>
      <c r="L385" s="22" t="s">
        <v>5749</v>
      </c>
      <c r="M385" s="23" t="s">
        <v>5750</v>
      </c>
    </row>
    <row r="386" spans="1:16" x14ac:dyDescent="0.25">
      <c r="A386" t="s">
        <v>2820</v>
      </c>
      <c r="B386" s="9">
        <f>Parameters!$B$19</f>
        <v>1E-4</v>
      </c>
      <c r="C386" s="9">
        <f>Parameters!$C$19</f>
        <v>1</v>
      </c>
      <c r="D386" s="9">
        <f>Parameters!$D$19</f>
        <v>1E-4</v>
      </c>
      <c r="E386" s="9">
        <f>Parameters!$E$19</f>
        <v>1</v>
      </c>
      <c r="H386" s="9" t="s">
        <v>2821</v>
      </c>
      <c r="I386" s="9">
        <v>0</v>
      </c>
      <c r="J386" s="9">
        <v>7</v>
      </c>
      <c r="L386" s="22" t="s">
        <v>5751</v>
      </c>
      <c r="M386" s="23" t="s">
        <v>5752</v>
      </c>
    </row>
    <row r="387" spans="1:16" x14ac:dyDescent="0.25">
      <c r="A387" t="s">
        <v>2822</v>
      </c>
      <c r="D387" s="9">
        <f>Parameters!$D$19</f>
        <v>1E-4</v>
      </c>
      <c r="E387" s="9">
        <f>Parameters!$E$19</f>
        <v>1</v>
      </c>
      <c r="H387" s="9" t="s">
        <v>2823</v>
      </c>
      <c r="I387" s="9">
        <v>0</v>
      </c>
      <c r="J387" s="9">
        <v>12</v>
      </c>
      <c r="L387" s="22" t="s">
        <v>6272</v>
      </c>
      <c r="M387" s="24" t="s">
        <v>5637</v>
      </c>
      <c r="N387" s="24"/>
      <c r="P387" s="25"/>
    </row>
    <row r="388" spans="1:16" x14ac:dyDescent="0.25">
      <c r="A388" t="s">
        <v>2824</v>
      </c>
      <c r="B388" s="9">
        <f>Parameters!$B$19</f>
        <v>1E-4</v>
      </c>
      <c r="C388" s="9">
        <f>Parameters!$C$19</f>
        <v>1</v>
      </c>
      <c r="D388" s="9">
        <f>Parameters!$D$19</f>
        <v>1E-4</v>
      </c>
      <c r="E388" s="9">
        <f>Parameters!$E$19</f>
        <v>1</v>
      </c>
      <c r="H388" s="9" t="s">
        <v>2825</v>
      </c>
      <c r="I388" s="9">
        <v>0</v>
      </c>
      <c r="J388" s="9">
        <v>12</v>
      </c>
      <c r="L388" s="22" t="s">
        <v>5753</v>
      </c>
      <c r="M388" s="23" t="s">
        <v>5754</v>
      </c>
    </row>
    <row r="389" spans="1:16" x14ac:dyDescent="0.25">
      <c r="A389" t="s">
        <v>2826</v>
      </c>
      <c r="D389" s="9">
        <f>Parameters!$D$19</f>
        <v>1E-4</v>
      </c>
      <c r="E389" s="9">
        <f>Parameters!$E$19</f>
        <v>1</v>
      </c>
      <c r="H389" s="9" t="s">
        <v>2827</v>
      </c>
      <c r="I389" s="9">
        <v>-3</v>
      </c>
      <c r="J389" s="9">
        <v>9</v>
      </c>
      <c r="L389" s="22" t="s">
        <v>5755</v>
      </c>
      <c r="M389" s="23" t="s">
        <v>5588</v>
      </c>
    </row>
    <row r="390" spans="1:16" x14ac:dyDescent="0.25">
      <c r="A390" t="s">
        <v>2828</v>
      </c>
      <c r="D390" s="9">
        <f>Parameters!$D$19</f>
        <v>1E-4</v>
      </c>
      <c r="E390" s="9">
        <f>Parameters!$E$19</f>
        <v>1</v>
      </c>
      <c r="H390" s="9" t="s">
        <v>2829</v>
      </c>
      <c r="I390" s="9">
        <v>-4</v>
      </c>
      <c r="J390" s="9">
        <v>11</v>
      </c>
      <c r="L390" s="22" t="s">
        <v>6273</v>
      </c>
      <c r="M390" s="24" t="s">
        <v>6274</v>
      </c>
      <c r="N390" s="24"/>
      <c r="P390" s="25"/>
    </row>
    <row r="391" spans="1:16" x14ac:dyDescent="0.25">
      <c r="A391" t="s">
        <v>2830</v>
      </c>
      <c r="B391" s="9">
        <f>Parameters!$B$19</f>
        <v>1E-4</v>
      </c>
      <c r="C391" s="9">
        <f>Parameters!$C$19</f>
        <v>1</v>
      </c>
      <c r="D391" s="9">
        <f>Parameters!$D$19</f>
        <v>1E-4</v>
      </c>
      <c r="E391" s="9">
        <f>Parameters!$E$19</f>
        <v>1</v>
      </c>
      <c r="H391" s="9" t="s">
        <v>2831</v>
      </c>
      <c r="I391" s="9">
        <v>1</v>
      </c>
      <c r="J391" s="9">
        <v>0</v>
      </c>
      <c r="L391" s="22" t="s">
        <v>5756</v>
      </c>
      <c r="M391" s="23" t="s">
        <v>5757</v>
      </c>
    </row>
    <row r="392" spans="1:16" x14ac:dyDescent="0.25">
      <c r="A392" t="s">
        <v>2832</v>
      </c>
      <c r="D392" s="9">
        <f>Parameters!$D$19</f>
        <v>1E-4</v>
      </c>
      <c r="E392" s="9">
        <f>Parameters!$E$19</f>
        <v>1</v>
      </c>
      <c r="H392" s="9" t="s">
        <v>2833</v>
      </c>
      <c r="I392" s="9">
        <v>-1</v>
      </c>
      <c r="J392" s="9">
        <v>13</v>
      </c>
      <c r="L392" s="22" t="s">
        <v>5758</v>
      </c>
      <c r="M392" s="23" t="s">
        <v>5759</v>
      </c>
    </row>
    <row r="393" spans="1:16" x14ac:dyDescent="0.25">
      <c r="A393" t="s">
        <v>2834</v>
      </c>
      <c r="D393" s="9">
        <f>Parameters!$D$19</f>
        <v>1E-4</v>
      </c>
      <c r="E393" s="9">
        <f>Parameters!$E$19</f>
        <v>1</v>
      </c>
      <c r="H393" s="9" t="s">
        <v>2835</v>
      </c>
      <c r="I393" s="9">
        <v>-6</v>
      </c>
      <c r="J393" s="9">
        <v>148</v>
      </c>
      <c r="L393" s="22" t="s">
        <v>6275</v>
      </c>
      <c r="M393" s="24" t="s">
        <v>6276</v>
      </c>
      <c r="N393" s="24"/>
      <c r="P393" s="25"/>
    </row>
    <row r="394" spans="1:16" x14ac:dyDescent="0.25">
      <c r="A394" t="s">
        <v>2836</v>
      </c>
      <c r="D394" s="9">
        <f>Parameters!$D$19</f>
        <v>1E-4</v>
      </c>
      <c r="E394" s="9">
        <f>Parameters!$E$19</f>
        <v>1</v>
      </c>
      <c r="H394" s="9" t="s">
        <v>2837</v>
      </c>
      <c r="I394" s="9">
        <v>-6</v>
      </c>
      <c r="J394" s="9">
        <v>170</v>
      </c>
      <c r="L394" s="22" t="s">
        <v>6277</v>
      </c>
      <c r="M394" s="24" t="s">
        <v>6278</v>
      </c>
      <c r="N394" s="24"/>
      <c r="P394" s="25"/>
    </row>
    <row r="395" spans="1:16" x14ac:dyDescent="0.25">
      <c r="A395" t="s">
        <v>2838</v>
      </c>
      <c r="D395" s="9">
        <f>Parameters!$D$19</f>
        <v>1E-4</v>
      </c>
      <c r="E395" s="9">
        <f>Parameters!$E$19</f>
        <v>1</v>
      </c>
      <c r="H395" s="9" t="s">
        <v>2839</v>
      </c>
      <c r="I395" s="9">
        <v>-6</v>
      </c>
      <c r="J395" s="9">
        <v>176</v>
      </c>
      <c r="L395" s="22" t="s">
        <v>6279</v>
      </c>
      <c r="M395" s="24" t="s">
        <v>6280</v>
      </c>
      <c r="N395" s="24"/>
      <c r="P395" s="25"/>
    </row>
    <row r="396" spans="1:16" x14ac:dyDescent="0.25">
      <c r="A396" t="s">
        <v>2840</v>
      </c>
      <c r="D396" s="9">
        <f>Parameters!$D$19</f>
        <v>1E-4</v>
      </c>
      <c r="E396" s="9">
        <f>Parameters!$E$19</f>
        <v>1</v>
      </c>
      <c r="H396" s="9" t="s">
        <v>2841</v>
      </c>
      <c r="I396" s="9">
        <v>-3</v>
      </c>
      <c r="J396" s="9">
        <v>12</v>
      </c>
      <c r="L396" s="22" t="s">
        <v>5760</v>
      </c>
      <c r="M396" s="23" t="s">
        <v>5761</v>
      </c>
    </row>
    <row r="397" spans="1:16" x14ac:dyDescent="0.25">
      <c r="A397" t="s">
        <v>2842</v>
      </c>
      <c r="D397" s="9">
        <f>Parameters!$D$19</f>
        <v>1E-4</v>
      </c>
      <c r="E397" s="9">
        <f>Parameters!$E$19</f>
        <v>1</v>
      </c>
      <c r="H397" s="9" t="s">
        <v>2843</v>
      </c>
      <c r="I397" s="9">
        <v>-5</v>
      </c>
      <c r="J397" s="9">
        <v>137</v>
      </c>
      <c r="L397" s="22" t="s">
        <v>6281</v>
      </c>
      <c r="M397" s="24" t="s">
        <v>6282</v>
      </c>
      <c r="N397" s="24"/>
      <c r="P397" s="25"/>
    </row>
    <row r="398" spans="1:16" x14ac:dyDescent="0.25">
      <c r="A398" t="s">
        <v>2844</v>
      </c>
      <c r="B398" s="9">
        <f>Parameters!$B$19</f>
        <v>1E-4</v>
      </c>
      <c r="C398" s="9">
        <f>Parameters!$C$19</f>
        <v>1</v>
      </c>
      <c r="D398" s="9">
        <f>Parameters!$D$19</f>
        <v>1E-4</v>
      </c>
      <c r="E398" s="9">
        <f>Parameters!$E$19</f>
        <v>1</v>
      </c>
      <c r="H398" s="9" t="s">
        <v>2845</v>
      </c>
      <c r="I398" s="9">
        <v>-1</v>
      </c>
      <c r="J398" s="9">
        <v>5</v>
      </c>
      <c r="L398" s="22" t="s">
        <v>5762</v>
      </c>
      <c r="M398" s="23" t="s">
        <v>5763</v>
      </c>
    </row>
    <row r="399" spans="1:16" x14ac:dyDescent="0.25">
      <c r="A399" t="s">
        <v>2846</v>
      </c>
      <c r="B399" s="9">
        <f>Parameters!$B$19</f>
        <v>1E-4</v>
      </c>
      <c r="C399" s="9">
        <f>Parameters!$C$19</f>
        <v>1</v>
      </c>
      <c r="D399" s="9">
        <f>Parameters!$D$19</f>
        <v>1E-4</v>
      </c>
      <c r="E399" s="9">
        <f>Parameters!$E$19</f>
        <v>1</v>
      </c>
      <c r="H399" s="9" t="s">
        <v>2847</v>
      </c>
      <c r="I399" s="9">
        <v>-1</v>
      </c>
      <c r="J399" s="9">
        <v>5</v>
      </c>
      <c r="L399" s="22" t="s">
        <v>5764</v>
      </c>
      <c r="M399" s="23" t="s">
        <v>5763</v>
      </c>
    </row>
    <row r="400" spans="1:16" x14ac:dyDescent="0.25">
      <c r="A400" t="s">
        <v>2848</v>
      </c>
      <c r="D400" s="9">
        <f>Parameters!$D$19</f>
        <v>1E-4</v>
      </c>
      <c r="E400" s="9">
        <f>Parameters!$E$19</f>
        <v>1</v>
      </c>
      <c r="H400" s="9" t="s">
        <v>2849</v>
      </c>
      <c r="I400" s="9">
        <v>0</v>
      </c>
      <c r="J400" s="9">
        <v>6</v>
      </c>
      <c r="L400" s="22" t="s">
        <v>6283</v>
      </c>
      <c r="M400" s="24" t="s">
        <v>6284</v>
      </c>
      <c r="N400" s="24"/>
      <c r="P400" s="25"/>
    </row>
    <row r="401" spans="1:16" x14ac:dyDescent="0.25">
      <c r="A401" t="s">
        <v>2850</v>
      </c>
      <c r="B401" s="9">
        <f>Parameters!$B$19</f>
        <v>1E-4</v>
      </c>
      <c r="C401" s="9">
        <f>Parameters!$C$19</f>
        <v>1</v>
      </c>
      <c r="D401" s="9">
        <f>Parameters!$D$19</f>
        <v>1E-4</v>
      </c>
      <c r="E401" s="9">
        <f>Parameters!$E$19</f>
        <v>1</v>
      </c>
      <c r="H401" s="9" t="s">
        <v>2851</v>
      </c>
      <c r="I401" s="9">
        <v>0</v>
      </c>
      <c r="J401" s="9">
        <v>22</v>
      </c>
      <c r="L401" s="22" t="s">
        <v>6285</v>
      </c>
      <c r="M401" s="24" t="s">
        <v>5785</v>
      </c>
      <c r="N401" s="24"/>
      <c r="P401" s="25"/>
    </row>
    <row r="402" spans="1:16" x14ac:dyDescent="0.25">
      <c r="A402" t="s">
        <v>2852</v>
      </c>
      <c r="B402" s="9">
        <f>Parameters!$B$19</f>
        <v>1E-4</v>
      </c>
      <c r="C402" s="9">
        <f>Parameters!$C$19</f>
        <v>1</v>
      </c>
      <c r="D402" s="9">
        <f>Parameters!$D$19</f>
        <v>1E-4</v>
      </c>
      <c r="E402" s="9">
        <f>Parameters!$E$19</f>
        <v>1</v>
      </c>
      <c r="H402" s="9" t="s">
        <v>2853</v>
      </c>
      <c r="I402" s="9">
        <v>0</v>
      </c>
      <c r="J402" s="9">
        <v>13</v>
      </c>
      <c r="L402" s="22" t="s">
        <v>5765</v>
      </c>
      <c r="M402" s="23" t="s">
        <v>5746</v>
      </c>
    </row>
    <row r="403" spans="1:16" x14ac:dyDescent="0.25">
      <c r="A403" t="s">
        <v>2854</v>
      </c>
      <c r="D403" s="9">
        <f>Parameters!$D$19</f>
        <v>1E-4</v>
      </c>
      <c r="E403" s="9">
        <f>Parameters!$E$19</f>
        <v>1</v>
      </c>
      <c r="H403" s="9" t="s">
        <v>2855</v>
      </c>
      <c r="I403" s="9">
        <v>-1</v>
      </c>
      <c r="J403" s="9">
        <v>20</v>
      </c>
      <c r="L403" s="22" t="s">
        <v>5766</v>
      </c>
      <c r="M403" s="23" t="s">
        <v>5767</v>
      </c>
    </row>
    <row r="404" spans="1:16" x14ac:dyDescent="0.25">
      <c r="A404" t="s">
        <v>2856</v>
      </c>
      <c r="D404" s="9">
        <f>Parameters!$D$19</f>
        <v>1E-4</v>
      </c>
      <c r="E404" s="9">
        <f>Parameters!$E$19</f>
        <v>1</v>
      </c>
      <c r="H404" s="9" t="s">
        <v>2857</v>
      </c>
      <c r="I404" s="9">
        <v>-6</v>
      </c>
      <c r="J404" s="9">
        <v>196</v>
      </c>
      <c r="L404" s="22" t="s">
        <v>6286</v>
      </c>
      <c r="M404" s="24" t="s">
        <v>6287</v>
      </c>
      <c r="N404" s="24"/>
      <c r="P404" s="25"/>
    </row>
    <row r="405" spans="1:16" x14ac:dyDescent="0.25">
      <c r="A405" t="s">
        <v>2858</v>
      </c>
      <c r="D405" s="9">
        <f>Parameters!$D$19</f>
        <v>1E-4</v>
      </c>
      <c r="E405" s="9">
        <f>Parameters!$E$19</f>
        <v>1</v>
      </c>
      <c r="H405" s="9" t="s">
        <v>2859</v>
      </c>
      <c r="I405" s="9">
        <v>-6</v>
      </c>
      <c r="J405" s="9">
        <v>202</v>
      </c>
      <c r="L405" s="22" t="s">
        <v>6288</v>
      </c>
      <c r="M405" s="24" t="s">
        <v>6289</v>
      </c>
      <c r="N405" s="24"/>
      <c r="P405" s="25"/>
    </row>
    <row r="406" spans="1:16" x14ac:dyDescent="0.25">
      <c r="A406" t="s">
        <v>2860</v>
      </c>
      <c r="D406" s="9">
        <f>Parameters!$D$19</f>
        <v>1E-4</v>
      </c>
      <c r="E406" s="9">
        <f>Parameters!$E$19</f>
        <v>1</v>
      </c>
      <c r="H406" s="9" t="s">
        <v>2861</v>
      </c>
      <c r="I406" s="9">
        <v>-4</v>
      </c>
      <c r="J406" s="9">
        <v>126</v>
      </c>
      <c r="L406" s="22" t="s">
        <v>5768</v>
      </c>
      <c r="M406" s="23" t="s">
        <v>5769</v>
      </c>
    </row>
    <row r="407" spans="1:16" x14ac:dyDescent="0.25">
      <c r="A407" t="s">
        <v>2862</v>
      </c>
      <c r="D407" s="9">
        <f>Parameters!$D$19</f>
        <v>1E-4</v>
      </c>
      <c r="E407" s="9">
        <f>Parameters!$E$19</f>
        <v>1</v>
      </c>
      <c r="H407" s="9" t="s">
        <v>2863</v>
      </c>
      <c r="I407" s="9">
        <v>-2</v>
      </c>
      <c r="J407" s="9">
        <v>127</v>
      </c>
      <c r="L407" s="22" t="s">
        <v>5770</v>
      </c>
      <c r="M407" s="23" t="s">
        <v>5771</v>
      </c>
    </row>
    <row r="408" spans="1:16" x14ac:dyDescent="0.25">
      <c r="A408" t="s">
        <v>2864</v>
      </c>
      <c r="D408" s="9">
        <f>Parameters!$D$19</f>
        <v>1E-4</v>
      </c>
      <c r="E408" s="9">
        <f>Parameters!$E$19</f>
        <v>1</v>
      </c>
      <c r="H408" s="9" t="s">
        <v>2865</v>
      </c>
      <c r="I408" s="9">
        <v>-2</v>
      </c>
      <c r="J408" s="9">
        <v>64</v>
      </c>
      <c r="L408" s="22" t="s">
        <v>5772</v>
      </c>
      <c r="M408" s="23" t="s">
        <v>5773</v>
      </c>
    </row>
    <row r="409" spans="1:16" x14ac:dyDescent="0.25">
      <c r="A409" t="s">
        <v>2866</v>
      </c>
      <c r="D409" s="9">
        <f>Parameters!$D$19</f>
        <v>1E-4</v>
      </c>
      <c r="E409" s="9">
        <f>Parameters!$E$19</f>
        <v>1</v>
      </c>
      <c r="H409" s="9" t="s">
        <v>2867</v>
      </c>
      <c r="I409" s="9">
        <v>-7</v>
      </c>
      <c r="J409" s="9">
        <v>290</v>
      </c>
      <c r="L409" s="22" t="s">
        <v>5774</v>
      </c>
      <c r="M409" s="23" t="s">
        <v>5775</v>
      </c>
    </row>
    <row r="410" spans="1:16" x14ac:dyDescent="0.25">
      <c r="A410" t="s">
        <v>2868</v>
      </c>
      <c r="B410" s="9">
        <f>Parameters!$B$19</f>
        <v>1E-4</v>
      </c>
      <c r="C410" s="9">
        <f>Parameters!$C$19</f>
        <v>1</v>
      </c>
      <c r="D410" s="9">
        <f>Parameters!$D$19</f>
        <v>1E-4</v>
      </c>
      <c r="E410" s="9">
        <f>Parameters!$E$19</f>
        <v>1</v>
      </c>
      <c r="H410" s="9" t="s">
        <v>2869</v>
      </c>
      <c r="I410" s="9">
        <v>1</v>
      </c>
      <c r="J410" s="9">
        <v>15</v>
      </c>
      <c r="L410" s="22" t="s">
        <v>5776</v>
      </c>
      <c r="M410" s="23" t="s">
        <v>5777</v>
      </c>
    </row>
    <row r="411" spans="1:16" x14ac:dyDescent="0.25">
      <c r="A411" t="s">
        <v>2872</v>
      </c>
      <c r="D411" s="9">
        <f>Parameters!$D$19</f>
        <v>1E-4</v>
      </c>
      <c r="E411" s="9">
        <f>Parameters!$E$19</f>
        <v>1</v>
      </c>
      <c r="H411" s="9" t="s">
        <v>2873</v>
      </c>
      <c r="I411" s="9">
        <v>-2</v>
      </c>
      <c r="J411" s="9">
        <v>22</v>
      </c>
      <c r="L411" s="22" t="s">
        <v>5778</v>
      </c>
      <c r="M411" s="23" t="s">
        <v>5779</v>
      </c>
    </row>
    <row r="412" spans="1:16" x14ac:dyDescent="0.25">
      <c r="A412" t="s">
        <v>2874</v>
      </c>
      <c r="D412" s="9">
        <f>Parameters!$D$19</f>
        <v>1E-4</v>
      </c>
      <c r="E412" s="9">
        <f>Parameters!$E$19</f>
        <v>1</v>
      </c>
      <c r="H412" s="9" t="s">
        <v>2875</v>
      </c>
      <c r="I412" s="9">
        <v>-5</v>
      </c>
      <c r="J412" s="9">
        <v>33</v>
      </c>
      <c r="L412" s="22" t="s">
        <v>5780</v>
      </c>
      <c r="M412" s="23" t="s">
        <v>5781</v>
      </c>
    </row>
    <row r="413" spans="1:16" x14ac:dyDescent="0.25">
      <c r="A413" t="s">
        <v>2870</v>
      </c>
      <c r="B413" s="9">
        <f>Parameters!$B$19</f>
        <v>1E-4</v>
      </c>
      <c r="C413" s="9">
        <f>Parameters!$C$19</f>
        <v>1</v>
      </c>
      <c r="D413" s="9">
        <f>Parameters!$D$19</f>
        <v>1E-4</v>
      </c>
      <c r="E413" s="9">
        <f>Parameters!$E$19</f>
        <v>1</v>
      </c>
      <c r="H413" s="9" t="s">
        <v>2871</v>
      </c>
      <c r="I413" s="9">
        <v>-2</v>
      </c>
      <c r="J413" s="9">
        <v>4</v>
      </c>
      <c r="L413" s="22" t="s">
        <v>5782</v>
      </c>
      <c r="M413" s="23" t="s">
        <v>5783</v>
      </c>
    </row>
    <row r="414" spans="1:16" x14ac:dyDescent="0.25">
      <c r="A414" t="s">
        <v>2876</v>
      </c>
      <c r="B414" s="9">
        <f>Parameters!$B$19</f>
        <v>1E-4</v>
      </c>
      <c r="C414" s="9">
        <f>Parameters!$C$19</f>
        <v>1</v>
      </c>
      <c r="D414" s="9">
        <f>Parameters!$D$19</f>
        <v>1E-4</v>
      </c>
      <c r="E414" s="9">
        <f>Parameters!$E$19</f>
        <v>1</v>
      </c>
      <c r="H414" s="9" t="s">
        <v>2877</v>
      </c>
      <c r="I414" s="9">
        <v>0</v>
      </c>
      <c r="J414" s="9">
        <v>22</v>
      </c>
      <c r="L414" s="22" t="s">
        <v>5784</v>
      </c>
      <c r="M414" s="23" t="s">
        <v>5785</v>
      </c>
    </row>
    <row r="415" spans="1:16" x14ac:dyDescent="0.25">
      <c r="A415" t="s">
        <v>2878</v>
      </c>
      <c r="D415" s="9">
        <f>Parameters!$D$19</f>
        <v>1E-4</v>
      </c>
      <c r="E415" s="9">
        <f>Parameters!$E$19</f>
        <v>1</v>
      </c>
      <c r="H415" s="9" t="s">
        <v>2879</v>
      </c>
      <c r="I415" s="9">
        <v>-2</v>
      </c>
      <c r="J415" s="9">
        <v>21</v>
      </c>
      <c r="L415" s="22" t="s">
        <v>6290</v>
      </c>
      <c r="M415" s="24" t="s">
        <v>5987</v>
      </c>
      <c r="N415" s="24"/>
      <c r="P415" s="25"/>
    </row>
    <row r="416" spans="1:16" x14ac:dyDescent="0.25">
      <c r="A416" t="s">
        <v>2880</v>
      </c>
      <c r="D416" s="9">
        <f>Parameters!$D$19</f>
        <v>1E-4</v>
      </c>
      <c r="E416" s="9">
        <f>Parameters!$E$19</f>
        <v>1</v>
      </c>
      <c r="H416" s="9" t="s">
        <v>2881</v>
      </c>
      <c r="I416" s="9">
        <v>0</v>
      </c>
      <c r="J416" s="9">
        <v>72</v>
      </c>
      <c r="L416" s="22" t="s">
        <v>5786</v>
      </c>
      <c r="M416" s="23" t="s">
        <v>5787</v>
      </c>
    </row>
    <row r="417" spans="1:26" x14ac:dyDescent="0.25">
      <c r="A417" t="s">
        <v>2882</v>
      </c>
      <c r="B417" s="9">
        <f>Parameters!$B$19</f>
        <v>1E-4</v>
      </c>
      <c r="C417" s="9">
        <f>Parameters!$C$19</f>
        <v>1</v>
      </c>
      <c r="D417" s="9">
        <f>Parameters!$D$19</f>
        <v>1E-4</v>
      </c>
      <c r="E417" s="9">
        <f>Parameters!$E$19</f>
        <v>1</v>
      </c>
      <c r="H417" s="9" t="s">
        <v>2883</v>
      </c>
      <c r="I417" s="9">
        <v>0</v>
      </c>
      <c r="J417" s="9">
        <v>62</v>
      </c>
      <c r="L417" s="22" t="s">
        <v>5788</v>
      </c>
      <c r="M417" s="23" t="s">
        <v>5789</v>
      </c>
    </row>
    <row r="418" spans="1:26" x14ac:dyDescent="0.25">
      <c r="A418" t="s">
        <v>2884</v>
      </c>
      <c r="B418" s="9">
        <f>Parameters!$B$19</f>
        <v>1E-4</v>
      </c>
      <c r="C418" s="9">
        <f>Parameters!$C$19</f>
        <v>1</v>
      </c>
      <c r="D418" s="9">
        <f>Parameters!$D$19</f>
        <v>1E-4</v>
      </c>
      <c r="E418" s="9">
        <f>Parameters!$E$19</f>
        <v>1</v>
      </c>
      <c r="H418" s="9" t="s">
        <v>2885</v>
      </c>
      <c r="I418" s="9">
        <v>0</v>
      </c>
      <c r="J418" s="9">
        <v>52</v>
      </c>
      <c r="L418" s="22" t="s">
        <v>5790</v>
      </c>
      <c r="M418" s="23" t="s">
        <v>5791</v>
      </c>
    </row>
    <row r="419" spans="1:26" x14ac:dyDescent="0.25">
      <c r="A419" t="s">
        <v>2886</v>
      </c>
      <c r="B419" s="9">
        <f>Parameters!$B$19</f>
        <v>1E-4</v>
      </c>
      <c r="C419" s="9">
        <f>Parameters!$C$19</f>
        <v>1</v>
      </c>
      <c r="D419" s="9">
        <f>Parameters!$D$19</f>
        <v>1E-4</v>
      </c>
      <c r="E419" s="9">
        <f>Parameters!$E$19</f>
        <v>1</v>
      </c>
      <c r="H419" s="9" t="s">
        <v>2887</v>
      </c>
      <c r="I419" s="9">
        <v>0</v>
      </c>
      <c r="J419" s="9">
        <v>32</v>
      </c>
      <c r="L419" s="22" t="s">
        <v>5792</v>
      </c>
      <c r="M419" s="23" t="s">
        <v>5793</v>
      </c>
    </row>
    <row r="420" spans="1:26" x14ac:dyDescent="0.25">
      <c r="A420" t="s">
        <v>2888</v>
      </c>
      <c r="B420" s="9">
        <f>Parameters!$B$19</f>
        <v>1E-4</v>
      </c>
      <c r="C420" s="9">
        <f>Parameters!$C$19</f>
        <v>1</v>
      </c>
      <c r="D420" s="9">
        <f>Parameters!$D$19</f>
        <v>1E-4</v>
      </c>
      <c r="E420" s="9">
        <f>Parameters!$E$19</f>
        <v>1</v>
      </c>
      <c r="H420" s="9" t="s">
        <v>2889</v>
      </c>
      <c r="I420" s="9">
        <v>0</v>
      </c>
      <c r="J420" s="9">
        <v>42</v>
      </c>
      <c r="L420" s="22" t="s">
        <v>5794</v>
      </c>
      <c r="M420" s="23" t="s">
        <v>5795</v>
      </c>
    </row>
    <row r="421" spans="1:26" x14ac:dyDescent="0.25">
      <c r="A421" t="s">
        <v>2890</v>
      </c>
      <c r="B421" s="9">
        <f>Parameters!$B$19</f>
        <v>1E-4</v>
      </c>
      <c r="C421" s="9">
        <f>Parameters!$C$19</f>
        <v>1</v>
      </c>
      <c r="D421" s="9">
        <f>Parameters!$D$19</f>
        <v>1E-4</v>
      </c>
      <c r="E421" s="9">
        <f>Parameters!$E$19</f>
        <v>1</v>
      </c>
      <c r="H421" s="9" t="s">
        <v>2891</v>
      </c>
      <c r="I421" s="9">
        <v>0</v>
      </c>
      <c r="J421" s="9">
        <v>12</v>
      </c>
      <c r="L421" s="22" t="s">
        <v>5796</v>
      </c>
      <c r="M421" s="23" t="s">
        <v>5637</v>
      </c>
    </row>
    <row r="422" spans="1:26" x14ac:dyDescent="0.25">
      <c r="A422" t="s">
        <v>2892</v>
      </c>
      <c r="D422" s="9">
        <f>Parameters!$D$19</f>
        <v>1E-4</v>
      </c>
      <c r="E422" s="9">
        <f>Parameters!$E$19</f>
        <v>1</v>
      </c>
      <c r="H422" s="9" t="s">
        <v>2893</v>
      </c>
      <c r="I422" s="9">
        <v>-2</v>
      </c>
      <c r="J422" s="9">
        <v>11</v>
      </c>
      <c r="L422" s="22" t="s">
        <v>6291</v>
      </c>
      <c r="M422" s="24" t="s">
        <v>5620</v>
      </c>
      <c r="N422" s="24"/>
      <c r="P422" s="25"/>
    </row>
    <row r="423" spans="1:26" x14ac:dyDescent="0.25">
      <c r="A423" t="s">
        <v>2894</v>
      </c>
      <c r="B423" s="9">
        <f>Parameters!$B$19</f>
        <v>1E-4</v>
      </c>
      <c r="C423" s="9">
        <f>Parameters!$C$19</f>
        <v>1</v>
      </c>
      <c r="D423" s="9">
        <f>Parameters!$D$19</f>
        <v>1E-4</v>
      </c>
      <c r="E423" s="9">
        <f>Parameters!$E$19</f>
        <v>1</v>
      </c>
      <c r="H423" s="9" t="s">
        <v>2895</v>
      </c>
      <c r="I423" s="9">
        <v>-2</v>
      </c>
      <c r="J423" s="9">
        <v>11</v>
      </c>
      <c r="L423" s="22" t="s">
        <v>5797</v>
      </c>
      <c r="M423" s="23" t="s">
        <v>5620</v>
      </c>
    </row>
    <row r="424" spans="1:26" x14ac:dyDescent="0.25">
      <c r="A424" t="s">
        <v>2896</v>
      </c>
      <c r="D424" s="9">
        <f>Parameters!$D$19</f>
        <v>1E-4</v>
      </c>
      <c r="E424" s="9">
        <f>Parameters!$E$19</f>
        <v>1</v>
      </c>
      <c r="H424" s="9" t="s">
        <v>2897</v>
      </c>
      <c r="I424" s="9">
        <v>-1</v>
      </c>
      <c r="J424" s="9">
        <v>11</v>
      </c>
      <c r="L424" s="22" t="s">
        <v>6292</v>
      </c>
      <c r="M424" s="24" t="s">
        <v>5654</v>
      </c>
      <c r="N424" s="24"/>
      <c r="P424" s="25"/>
    </row>
    <row r="425" spans="1:26" x14ac:dyDescent="0.25">
      <c r="A425" t="s">
        <v>2898</v>
      </c>
      <c r="B425" s="9">
        <f>Parameters!$B$19</f>
        <v>1E-4</v>
      </c>
      <c r="C425" s="9">
        <f>Parameters!$C$19</f>
        <v>1</v>
      </c>
      <c r="D425" s="9">
        <f>Parameters!$D$19</f>
        <v>1E-4</v>
      </c>
      <c r="E425" s="9">
        <f>Parameters!$E$19</f>
        <v>1</v>
      </c>
      <c r="H425" s="9" t="s">
        <v>2899</v>
      </c>
      <c r="I425" s="9">
        <v>0</v>
      </c>
      <c r="J425" s="9">
        <v>22</v>
      </c>
      <c r="L425" s="22" t="s">
        <v>6293</v>
      </c>
      <c r="M425" s="24" t="s">
        <v>5785</v>
      </c>
      <c r="N425" s="24"/>
      <c r="P425" s="25"/>
    </row>
    <row r="426" spans="1:26" s="25" customFormat="1" x14ac:dyDescent="0.25">
      <c r="A426" t="s">
        <v>2900</v>
      </c>
      <c r="B426" s="9">
        <f>Parameters!$B$19</f>
        <v>1E-4</v>
      </c>
      <c r="C426" s="9">
        <f>Parameters!$C$19</f>
        <v>1</v>
      </c>
      <c r="D426" s="9">
        <f>Parameters!$D$19</f>
        <v>1E-4</v>
      </c>
      <c r="E426" s="9">
        <f>Parameters!$E$19</f>
        <v>1</v>
      </c>
      <c r="F426"/>
      <c r="G426"/>
      <c r="H426" s="9" t="s">
        <v>2901</v>
      </c>
      <c r="I426" s="9">
        <v>0</v>
      </c>
      <c r="J426" s="9">
        <v>10</v>
      </c>
      <c r="K426"/>
      <c r="L426" s="22" t="s">
        <v>6294</v>
      </c>
      <c r="M426" s="24" t="s">
        <v>6295</v>
      </c>
      <c r="N426" s="24"/>
      <c r="O426"/>
      <c r="Q426"/>
      <c r="R426"/>
      <c r="S426"/>
      <c r="T426"/>
      <c r="U426"/>
      <c r="V426"/>
      <c r="W426"/>
      <c r="X426"/>
      <c r="Y426"/>
      <c r="Z426"/>
    </row>
    <row r="427" spans="1:26" x14ac:dyDescent="0.25">
      <c r="A427" t="s">
        <v>2904</v>
      </c>
      <c r="D427" s="9">
        <f>Parameters!$D$19</f>
        <v>1E-4</v>
      </c>
      <c r="E427" s="9">
        <f>Parameters!$E$19</f>
        <v>1</v>
      </c>
      <c r="H427" s="9" t="s">
        <v>2905</v>
      </c>
      <c r="I427" s="9">
        <v>-1</v>
      </c>
      <c r="J427" s="9">
        <v>20</v>
      </c>
      <c r="L427" s="22" t="s">
        <v>5798</v>
      </c>
      <c r="M427" s="23" t="s">
        <v>5799</v>
      </c>
    </row>
    <row r="428" spans="1:26" x14ac:dyDescent="0.25">
      <c r="A428" t="s">
        <v>2902</v>
      </c>
      <c r="B428" s="9">
        <f>Parameters!$B$19</f>
        <v>1E-4</v>
      </c>
      <c r="C428" s="9">
        <f>Parameters!$C$19</f>
        <v>1</v>
      </c>
      <c r="D428" s="9">
        <f>Parameters!$D$19</f>
        <v>1E-4</v>
      </c>
      <c r="E428" s="9">
        <f>Parameters!$E$19</f>
        <v>1</v>
      </c>
      <c r="H428" s="9" t="s">
        <v>2903</v>
      </c>
      <c r="I428" s="9">
        <v>0</v>
      </c>
      <c r="J428" s="9">
        <v>11</v>
      </c>
      <c r="L428" s="22" t="s">
        <v>5800</v>
      </c>
      <c r="M428" s="23" t="s">
        <v>5801</v>
      </c>
    </row>
    <row r="429" spans="1:26" x14ac:dyDescent="0.25">
      <c r="A429" t="s">
        <v>2906</v>
      </c>
      <c r="D429" s="9">
        <f>Parameters!$D$19</f>
        <v>1E-4</v>
      </c>
      <c r="E429" s="9">
        <f>Parameters!$E$19</f>
        <v>1</v>
      </c>
      <c r="H429" s="9" t="s">
        <v>2907</v>
      </c>
      <c r="I429" s="9">
        <v>-2</v>
      </c>
      <c r="J429" s="9">
        <v>11</v>
      </c>
      <c r="L429" s="22" t="s">
        <v>6296</v>
      </c>
      <c r="M429" s="24" t="s">
        <v>5620</v>
      </c>
      <c r="N429" s="24"/>
      <c r="P429" s="25"/>
    </row>
    <row r="430" spans="1:26" x14ac:dyDescent="0.25">
      <c r="A430" t="s">
        <v>2908</v>
      </c>
      <c r="D430" s="9">
        <f>Parameters!$D$19</f>
        <v>1E-4</v>
      </c>
      <c r="E430" s="9">
        <f>Parameters!$E$19</f>
        <v>1</v>
      </c>
      <c r="H430" s="9" t="s">
        <v>2909</v>
      </c>
      <c r="I430" s="9">
        <v>-3</v>
      </c>
      <c r="J430" s="9">
        <v>7</v>
      </c>
      <c r="L430" s="22" t="s">
        <v>5802</v>
      </c>
      <c r="M430" s="23" t="s">
        <v>5338</v>
      </c>
    </row>
    <row r="431" spans="1:26" x14ac:dyDescent="0.25">
      <c r="A431" t="s">
        <v>2910</v>
      </c>
      <c r="D431" s="9">
        <f>Parameters!$D$19</f>
        <v>1E-4</v>
      </c>
      <c r="E431" s="9">
        <f>Parameters!$E$19</f>
        <v>1</v>
      </c>
      <c r="H431" s="9" t="s">
        <v>2911</v>
      </c>
      <c r="I431" s="9">
        <v>-2</v>
      </c>
      <c r="J431" s="9">
        <v>21</v>
      </c>
      <c r="L431" s="22" t="s">
        <v>5803</v>
      </c>
      <c r="M431" s="23" t="s">
        <v>5804</v>
      </c>
    </row>
    <row r="432" spans="1:26" x14ac:dyDescent="0.25">
      <c r="A432" t="s">
        <v>2912</v>
      </c>
      <c r="D432" s="9">
        <f>Parameters!$D$19</f>
        <v>1E-4</v>
      </c>
      <c r="E432" s="9">
        <f>Parameters!$E$19</f>
        <v>1</v>
      </c>
      <c r="H432" s="9" t="s">
        <v>2913</v>
      </c>
      <c r="I432" s="9">
        <v>-5</v>
      </c>
      <c r="J432" s="9">
        <v>30</v>
      </c>
      <c r="L432" s="22" t="s">
        <v>5805</v>
      </c>
      <c r="M432" s="23" t="s">
        <v>5806</v>
      </c>
    </row>
    <row r="433" spans="1:16" x14ac:dyDescent="0.25">
      <c r="A433" t="s">
        <v>2914</v>
      </c>
      <c r="D433" s="9">
        <f>Parameters!$D$19</f>
        <v>1E-4</v>
      </c>
      <c r="E433" s="9">
        <f>Parameters!$E$19</f>
        <v>1</v>
      </c>
      <c r="H433" s="9" t="s">
        <v>2915</v>
      </c>
      <c r="I433" s="9">
        <v>-5</v>
      </c>
      <c r="J433" s="9">
        <v>35</v>
      </c>
      <c r="L433" s="22" t="s">
        <v>5807</v>
      </c>
      <c r="M433" s="23" t="s">
        <v>5806</v>
      </c>
    </row>
    <row r="434" spans="1:16" x14ac:dyDescent="0.25">
      <c r="A434" t="s">
        <v>2916</v>
      </c>
      <c r="B434" s="9">
        <f>Parameters!$B$19</f>
        <v>1E-4</v>
      </c>
      <c r="C434" s="9">
        <f>Parameters!$C$19</f>
        <v>1</v>
      </c>
      <c r="D434" s="9">
        <f>Parameters!$D$19</f>
        <v>1E-4</v>
      </c>
      <c r="E434" s="9">
        <f>Parameters!$E$19</f>
        <v>1</v>
      </c>
      <c r="H434" s="9" t="s">
        <v>2917</v>
      </c>
      <c r="I434" s="9">
        <v>0</v>
      </c>
      <c r="J434" s="9">
        <v>14</v>
      </c>
      <c r="L434" s="22" t="s">
        <v>6297</v>
      </c>
      <c r="M434" s="24" t="s">
        <v>6234</v>
      </c>
      <c r="N434" s="24"/>
      <c r="P434" s="25"/>
    </row>
    <row r="435" spans="1:16" x14ac:dyDescent="0.25">
      <c r="A435" t="s">
        <v>2918</v>
      </c>
      <c r="D435" s="9">
        <f>Parameters!$D$19</f>
        <v>1E-4</v>
      </c>
      <c r="E435" s="9">
        <f>Parameters!$E$19</f>
        <v>1</v>
      </c>
      <c r="H435" s="9" t="s">
        <v>2919</v>
      </c>
      <c r="I435" s="9">
        <v>-2</v>
      </c>
      <c r="J435" s="9">
        <v>13</v>
      </c>
      <c r="L435" s="22" t="s">
        <v>6298</v>
      </c>
      <c r="M435" s="24" t="s">
        <v>6236</v>
      </c>
      <c r="N435" s="24"/>
      <c r="P435" s="25"/>
    </row>
    <row r="436" spans="1:16" x14ac:dyDescent="0.25">
      <c r="A436" t="s">
        <v>2920</v>
      </c>
      <c r="D436" s="9">
        <f>Parameters!$D$19</f>
        <v>1E-4</v>
      </c>
      <c r="E436" s="9">
        <f>Parameters!$E$19</f>
        <v>1</v>
      </c>
      <c r="H436" s="9" t="s">
        <v>2921</v>
      </c>
      <c r="I436" s="9">
        <v>0</v>
      </c>
      <c r="J436" s="9">
        <v>74</v>
      </c>
      <c r="L436" s="22" t="s">
        <v>5808</v>
      </c>
      <c r="M436" s="23" t="s">
        <v>5809</v>
      </c>
    </row>
    <row r="437" spans="1:16" x14ac:dyDescent="0.25">
      <c r="A437" t="s">
        <v>2922</v>
      </c>
      <c r="D437" s="9">
        <f>Parameters!$D$19</f>
        <v>1E-4</v>
      </c>
      <c r="E437" s="9">
        <f>Parameters!$E$19</f>
        <v>1</v>
      </c>
      <c r="H437" s="9" t="s">
        <v>2923</v>
      </c>
      <c r="I437" s="9">
        <v>0</v>
      </c>
      <c r="J437" s="9">
        <v>72</v>
      </c>
      <c r="L437" s="22" t="s">
        <v>5810</v>
      </c>
      <c r="M437" s="23" t="s">
        <v>5811</v>
      </c>
    </row>
    <row r="438" spans="1:16" x14ac:dyDescent="0.25">
      <c r="A438" t="s">
        <v>2924</v>
      </c>
      <c r="D438" s="9">
        <f>Parameters!$D$19</f>
        <v>1E-4</v>
      </c>
      <c r="E438" s="9">
        <f>Parameters!$E$19</f>
        <v>1</v>
      </c>
      <c r="H438" s="9" t="s">
        <v>2925</v>
      </c>
      <c r="I438" s="9">
        <v>0</v>
      </c>
      <c r="J438" s="9">
        <v>4</v>
      </c>
      <c r="L438" s="22" t="s">
        <v>5812</v>
      </c>
      <c r="M438" s="23" t="s">
        <v>5813</v>
      </c>
    </row>
    <row r="439" spans="1:16" x14ac:dyDescent="0.25">
      <c r="A439" t="s">
        <v>2926</v>
      </c>
      <c r="D439" s="9">
        <f>Parameters!$D$19</f>
        <v>1E-4</v>
      </c>
      <c r="E439" s="9">
        <f>Parameters!$E$19</f>
        <v>1</v>
      </c>
      <c r="H439" s="9" t="s">
        <v>2927</v>
      </c>
      <c r="I439" s="9">
        <v>-1</v>
      </c>
      <c r="J439" s="9">
        <v>47</v>
      </c>
      <c r="L439" s="22" t="s">
        <v>5814</v>
      </c>
      <c r="M439" s="23" t="s">
        <v>5815</v>
      </c>
    </row>
    <row r="440" spans="1:16" x14ac:dyDescent="0.25">
      <c r="A440" t="s">
        <v>2277</v>
      </c>
      <c r="D440" s="9">
        <f>Parameters!$D$19</f>
        <v>1E-4</v>
      </c>
      <c r="E440" s="9">
        <f>Parameters!$E$19</f>
        <v>1</v>
      </c>
      <c r="H440" s="9" t="s">
        <v>2278</v>
      </c>
      <c r="I440" s="9">
        <v>2</v>
      </c>
      <c r="J440" s="9">
        <v>23</v>
      </c>
      <c r="L440" s="22" t="s">
        <v>6299</v>
      </c>
      <c r="M440" s="24" t="s">
        <v>6300</v>
      </c>
      <c r="N440" s="24"/>
      <c r="P440" s="25"/>
    </row>
    <row r="441" spans="1:16" x14ac:dyDescent="0.25">
      <c r="A441" t="s">
        <v>2928</v>
      </c>
      <c r="D441" s="9">
        <f>Parameters!$D$19</f>
        <v>1E-4</v>
      </c>
      <c r="E441" s="9">
        <f>Parameters!$E$19</f>
        <v>1</v>
      </c>
      <c r="H441" s="9" t="s">
        <v>2929</v>
      </c>
      <c r="I441" s="9">
        <v>2</v>
      </c>
      <c r="J441" s="9">
        <v>23</v>
      </c>
      <c r="L441" s="22" t="s">
        <v>6301</v>
      </c>
      <c r="M441" s="24" t="s">
        <v>6300</v>
      </c>
      <c r="N441" s="24"/>
      <c r="P441" s="25"/>
    </row>
    <row r="442" spans="1:16" x14ac:dyDescent="0.25">
      <c r="A442" t="s">
        <v>2930</v>
      </c>
      <c r="B442" s="9">
        <f>Parameters!$B$19</f>
        <v>1E-4</v>
      </c>
      <c r="C442" s="9">
        <f>Parameters!$C$19</f>
        <v>1</v>
      </c>
      <c r="D442" s="9">
        <f>Parameters!$D$19</f>
        <v>1E-4</v>
      </c>
      <c r="E442" s="9">
        <f>Parameters!$E$19</f>
        <v>1</v>
      </c>
      <c r="H442" s="9" t="s">
        <v>2931</v>
      </c>
      <c r="I442" s="9">
        <v>1</v>
      </c>
      <c r="J442" s="9">
        <v>0</v>
      </c>
      <c r="L442" s="22" t="s">
        <v>5816</v>
      </c>
      <c r="M442" s="23" t="s">
        <v>5817</v>
      </c>
    </row>
    <row r="443" spans="1:16" x14ac:dyDescent="0.25">
      <c r="A443" t="s">
        <v>2932</v>
      </c>
      <c r="B443" s="9">
        <f>Parameters!$B$19</f>
        <v>1E-4</v>
      </c>
      <c r="C443" s="9">
        <f>Parameters!$C$19</f>
        <v>1</v>
      </c>
      <c r="D443" s="9">
        <f>Parameters!$D$19</f>
        <v>1E-4</v>
      </c>
      <c r="E443" s="9">
        <f>Parameters!$E$19</f>
        <v>1</v>
      </c>
      <c r="H443" s="9" t="s">
        <v>2933</v>
      </c>
      <c r="I443" s="9">
        <v>-1</v>
      </c>
      <c r="J443" s="9">
        <v>4</v>
      </c>
      <c r="L443" s="22" t="s">
        <v>5818</v>
      </c>
      <c r="M443" s="23" t="s">
        <v>5819</v>
      </c>
    </row>
    <row r="444" spans="1:16" x14ac:dyDescent="0.25">
      <c r="A444" t="s">
        <v>2934</v>
      </c>
      <c r="B444" s="9">
        <f>Parameters!$B$19</f>
        <v>1E-4</v>
      </c>
      <c r="C444" s="9">
        <f>Parameters!$C$19</f>
        <v>1</v>
      </c>
      <c r="D444" s="9">
        <f>Parameters!$D$19</f>
        <v>1E-4</v>
      </c>
      <c r="E444" s="9">
        <f>Parameters!$E$19</f>
        <v>1</v>
      </c>
      <c r="H444" s="9" t="s">
        <v>2935</v>
      </c>
      <c r="I444" s="9">
        <v>-1</v>
      </c>
      <c r="J444" s="9">
        <v>26</v>
      </c>
      <c r="L444" s="22" t="s">
        <v>5820</v>
      </c>
      <c r="M444" s="23" t="s">
        <v>5821</v>
      </c>
    </row>
    <row r="445" spans="1:16" x14ac:dyDescent="0.25">
      <c r="A445" t="s">
        <v>2936</v>
      </c>
      <c r="D445" s="9">
        <f>Parameters!$D$19</f>
        <v>1E-4</v>
      </c>
      <c r="E445" s="9">
        <f>Parameters!$E$19</f>
        <v>1</v>
      </c>
      <c r="H445" s="9" t="s">
        <v>2937</v>
      </c>
      <c r="I445" s="9">
        <v>-2</v>
      </c>
      <c r="J445" s="9">
        <v>27</v>
      </c>
      <c r="L445" s="22" t="s">
        <v>5822</v>
      </c>
      <c r="M445" s="23" t="s">
        <v>5823</v>
      </c>
    </row>
    <row r="446" spans="1:16" x14ac:dyDescent="0.25">
      <c r="A446" t="s">
        <v>2938</v>
      </c>
      <c r="D446" s="9">
        <f>Parameters!$D$19</f>
        <v>1E-4</v>
      </c>
      <c r="E446" s="9">
        <f>Parameters!$E$19</f>
        <v>1</v>
      </c>
      <c r="H446" s="9" t="s">
        <v>2939</v>
      </c>
      <c r="I446" s="9">
        <v>-3</v>
      </c>
      <c r="J446" s="9">
        <v>25</v>
      </c>
      <c r="L446" s="22" t="s">
        <v>5824</v>
      </c>
      <c r="M446" s="23" t="s">
        <v>5825</v>
      </c>
    </row>
    <row r="447" spans="1:16" x14ac:dyDescent="0.25">
      <c r="A447" t="s">
        <v>2940</v>
      </c>
      <c r="D447" s="9">
        <f>Parameters!$D$19</f>
        <v>1E-4</v>
      </c>
      <c r="E447" s="9">
        <f>Parameters!$E$19</f>
        <v>1</v>
      </c>
      <c r="H447" s="9" t="s">
        <v>2941</v>
      </c>
      <c r="I447" s="9">
        <v>-4</v>
      </c>
      <c r="J447" s="9">
        <v>26</v>
      </c>
      <c r="L447" s="22" t="s">
        <v>5826</v>
      </c>
      <c r="M447" s="23" t="s">
        <v>5827</v>
      </c>
    </row>
    <row r="448" spans="1:16" x14ac:dyDescent="0.25">
      <c r="A448" t="s">
        <v>2942</v>
      </c>
      <c r="D448" s="9">
        <f>Parameters!$D$19</f>
        <v>1E-4</v>
      </c>
      <c r="E448" s="9">
        <f>Parameters!$E$19</f>
        <v>1</v>
      </c>
      <c r="H448" s="9" t="s">
        <v>2943</v>
      </c>
      <c r="I448" s="9">
        <v>0</v>
      </c>
      <c r="J448" s="9">
        <v>6</v>
      </c>
      <c r="L448" s="22" t="s">
        <v>5828</v>
      </c>
      <c r="M448" s="23" t="s">
        <v>5829</v>
      </c>
    </row>
    <row r="449" spans="1:16" x14ac:dyDescent="0.25">
      <c r="A449" t="s">
        <v>2944</v>
      </c>
      <c r="B449" s="9">
        <f>Parameters!$B$19</f>
        <v>1E-4</v>
      </c>
      <c r="C449" s="9">
        <f>Parameters!$C$19</f>
        <v>1</v>
      </c>
      <c r="D449" s="9">
        <f>Parameters!$D$19</f>
        <v>1E-4</v>
      </c>
      <c r="E449" s="9">
        <f>Parameters!$E$19</f>
        <v>1</v>
      </c>
      <c r="H449" s="9" t="s">
        <v>2945</v>
      </c>
      <c r="I449" s="9">
        <v>0</v>
      </c>
      <c r="J449" s="9">
        <v>0</v>
      </c>
      <c r="L449" s="22" t="s">
        <v>5830</v>
      </c>
      <c r="M449" s="23" t="s">
        <v>5831</v>
      </c>
    </row>
    <row r="450" spans="1:16" x14ac:dyDescent="0.25">
      <c r="A450" t="s">
        <v>2946</v>
      </c>
      <c r="D450" s="9">
        <f>Parameters!$D$19</f>
        <v>1E-4</v>
      </c>
      <c r="E450" s="9">
        <f>Parameters!$E$19</f>
        <v>1</v>
      </c>
      <c r="H450" s="9" t="s">
        <v>2947</v>
      </c>
      <c r="I450" s="9">
        <v>-2</v>
      </c>
      <c r="J450" s="9">
        <v>12</v>
      </c>
      <c r="L450" s="22" t="s">
        <v>5832</v>
      </c>
      <c r="M450" s="23" t="s">
        <v>5833</v>
      </c>
    </row>
    <row r="451" spans="1:16" x14ac:dyDescent="0.25">
      <c r="A451" t="s">
        <v>2948</v>
      </c>
      <c r="B451" s="9">
        <f>Parameters!$B$19</f>
        <v>1E-4</v>
      </c>
      <c r="C451" s="9">
        <f>Parameters!$C$19</f>
        <v>1</v>
      </c>
      <c r="D451" s="9">
        <f>Parameters!$D$19</f>
        <v>1E-4</v>
      </c>
      <c r="E451" s="9">
        <f>Parameters!$E$19</f>
        <v>1</v>
      </c>
      <c r="H451" s="9" t="s">
        <v>2949</v>
      </c>
      <c r="I451" s="9">
        <v>-1</v>
      </c>
      <c r="J451" s="9">
        <v>14</v>
      </c>
      <c r="L451" s="22" t="s">
        <v>5834</v>
      </c>
      <c r="M451" s="23" t="s">
        <v>5835</v>
      </c>
    </row>
    <row r="452" spans="1:16" x14ac:dyDescent="0.25">
      <c r="A452" t="s">
        <v>2950</v>
      </c>
      <c r="B452" s="9">
        <f>Parameters!$B$19</f>
        <v>1E-4</v>
      </c>
      <c r="C452" s="9">
        <f>Parameters!$C$19</f>
        <v>1</v>
      </c>
      <c r="D452" s="9">
        <f>Parameters!$D$19</f>
        <v>1E-4</v>
      </c>
      <c r="E452" s="9">
        <f>Parameters!$E$19</f>
        <v>1</v>
      </c>
      <c r="H452" s="9" t="s">
        <v>2951</v>
      </c>
      <c r="I452" s="9">
        <v>-1</v>
      </c>
      <c r="J452" s="9">
        <v>0</v>
      </c>
      <c r="L452" s="22" t="s">
        <v>5836</v>
      </c>
      <c r="M452" s="23" t="s">
        <v>5837</v>
      </c>
    </row>
    <row r="453" spans="1:16" x14ac:dyDescent="0.25">
      <c r="A453" t="s">
        <v>2952</v>
      </c>
      <c r="B453" s="9">
        <f>Parameters!$B$19</f>
        <v>1E-4</v>
      </c>
      <c r="C453" s="9">
        <f>Parameters!$C$19</f>
        <v>1</v>
      </c>
      <c r="D453" s="9">
        <f>Parameters!$D$19</f>
        <v>1E-4</v>
      </c>
      <c r="E453" s="9">
        <f>Parameters!$E$19</f>
        <v>1</v>
      </c>
      <c r="H453" s="9" t="s">
        <v>2953</v>
      </c>
      <c r="I453" s="9">
        <v>-1</v>
      </c>
      <c r="J453" s="9">
        <v>0</v>
      </c>
      <c r="L453" s="22" t="s">
        <v>5838</v>
      </c>
      <c r="M453" s="23" t="s">
        <v>5839</v>
      </c>
    </row>
    <row r="454" spans="1:16" x14ac:dyDescent="0.25">
      <c r="A454" t="s">
        <v>2954</v>
      </c>
      <c r="B454" s="9">
        <f>Parameters!$B$19</f>
        <v>1E-4</v>
      </c>
      <c r="C454" s="9">
        <f>Parameters!$C$19</f>
        <v>1</v>
      </c>
      <c r="D454" s="9">
        <f>Parameters!$D$19</f>
        <v>1E-4</v>
      </c>
      <c r="E454" s="9">
        <f>Parameters!$E$19</f>
        <v>1</v>
      </c>
      <c r="H454" s="9" t="s">
        <v>2955</v>
      </c>
      <c r="I454" s="9">
        <v>0</v>
      </c>
      <c r="J454" s="9">
        <v>0</v>
      </c>
      <c r="L454" s="22" t="s">
        <v>5840</v>
      </c>
      <c r="M454" s="23" t="s">
        <v>5840</v>
      </c>
    </row>
    <row r="455" spans="1:16" x14ac:dyDescent="0.25">
      <c r="A455" s="1" t="s">
        <v>6302</v>
      </c>
      <c r="D455" s="9">
        <f>Parameters!$D$19</f>
        <v>1E-4</v>
      </c>
      <c r="E455" s="9">
        <f>Parameters!$E$19</f>
        <v>1</v>
      </c>
      <c r="H455" s="9" t="s">
        <v>2956</v>
      </c>
      <c r="I455" s="9">
        <v>-1</v>
      </c>
      <c r="J455" s="9">
        <v>0</v>
      </c>
      <c r="L455" s="22" t="s">
        <v>6303</v>
      </c>
      <c r="M455" s="24" t="s">
        <v>5840</v>
      </c>
      <c r="N455" s="24"/>
      <c r="P455" s="25"/>
    </row>
    <row r="456" spans="1:16" x14ac:dyDescent="0.25">
      <c r="A456" t="s">
        <v>2957</v>
      </c>
      <c r="D456" s="9">
        <f>Parameters!$D$19</f>
        <v>1E-4</v>
      </c>
      <c r="E456" s="9">
        <f>Parameters!$E$19</f>
        <v>1</v>
      </c>
      <c r="H456" s="9" t="s">
        <v>2958</v>
      </c>
      <c r="I456" s="9">
        <v>-2</v>
      </c>
      <c r="J456" s="9">
        <v>2</v>
      </c>
      <c r="L456" s="22" t="s">
        <v>5841</v>
      </c>
      <c r="M456" s="23" t="s">
        <v>5842</v>
      </c>
    </row>
    <row r="457" spans="1:16" x14ac:dyDescent="0.25">
      <c r="A457" t="s">
        <v>2959</v>
      </c>
      <c r="B457" s="9">
        <f>Parameters!$B$19</f>
        <v>1E-4</v>
      </c>
      <c r="C457" s="9">
        <f>Parameters!$C$19</f>
        <v>1</v>
      </c>
      <c r="D457" s="9">
        <f>Parameters!$D$19</f>
        <v>1E-4</v>
      </c>
      <c r="E457" s="9">
        <f>Parameters!$E$19</f>
        <v>1</v>
      </c>
      <c r="H457" s="9" t="s">
        <v>2960</v>
      </c>
      <c r="I457" s="9">
        <v>-1</v>
      </c>
      <c r="J457" s="9">
        <v>35</v>
      </c>
      <c r="L457" s="22" t="s">
        <v>5843</v>
      </c>
      <c r="M457" s="23" t="s">
        <v>5844</v>
      </c>
    </row>
    <row r="458" spans="1:16" x14ac:dyDescent="0.25">
      <c r="A458" t="s">
        <v>2961</v>
      </c>
      <c r="D458" s="9">
        <f>Parameters!$D$19</f>
        <v>1E-4</v>
      </c>
      <c r="E458" s="9">
        <f>Parameters!$E$19</f>
        <v>1</v>
      </c>
      <c r="H458" s="9" t="s">
        <v>2962</v>
      </c>
      <c r="I458" s="9">
        <v>-1</v>
      </c>
      <c r="J458" s="9">
        <v>33</v>
      </c>
      <c r="L458" s="22" t="s">
        <v>5845</v>
      </c>
      <c r="M458" s="23" t="s">
        <v>5846</v>
      </c>
    </row>
    <row r="459" spans="1:16" x14ac:dyDescent="0.25">
      <c r="A459" t="s">
        <v>2963</v>
      </c>
      <c r="D459" s="9">
        <f>Parameters!$D$19</f>
        <v>1E-4</v>
      </c>
      <c r="E459" s="9">
        <f>Parameters!$E$19</f>
        <v>1</v>
      </c>
      <c r="H459" s="9" t="s">
        <v>2964</v>
      </c>
      <c r="I459" s="9">
        <v>-3</v>
      </c>
      <c r="J459" s="9">
        <v>65</v>
      </c>
      <c r="L459" s="22" t="s">
        <v>6304</v>
      </c>
      <c r="M459" s="24" t="s">
        <v>6305</v>
      </c>
      <c r="N459" s="24"/>
      <c r="P459" s="25"/>
    </row>
    <row r="460" spans="1:16" x14ac:dyDescent="0.25">
      <c r="A460" t="s">
        <v>2965</v>
      </c>
      <c r="D460" s="9">
        <f>Parameters!$D$19</f>
        <v>1E-4</v>
      </c>
      <c r="E460" s="9">
        <f>Parameters!$E$19</f>
        <v>1</v>
      </c>
      <c r="H460" s="9" t="s">
        <v>2966</v>
      </c>
      <c r="I460" s="9">
        <v>-1</v>
      </c>
      <c r="J460" s="9">
        <v>53</v>
      </c>
      <c r="L460" s="22" t="s">
        <v>5847</v>
      </c>
      <c r="M460" s="23" t="s">
        <v>5848</v>
      </c>
    </row>
    <row r="461" spans="1:16" x14ac:dyDescent="0.25">
      <c r="A461" t="s">
        <v>2967</v>
      </c>
      <c r="D461" s="9">
        <f>Parameters!$D$19</f>
        <v>1E-4</v>
      </c>
      <c r="E461" s="9">
        <f>Parameters!$E$19</f>
        <v>1</v>
      </c>
      <c r="H461" s="9" t="s">
        <v>2968</v>
      </c>
      <c r="I461" s="9">
        <v>-3</v>
      </c>
      <c r="J461" s="9">
        <v>4</v>
      </c>
      <c r="L461" s="22" t="s">
        <v>6306</v>
      </c>
      <c r="M461" s="24" t="s">
        <v>6307</v>
      </c>
      <c r="N461" s="24"/>
      <c r="P461" s="25"/>
    </row>
    <row r="462" spans="1:16" x14ac:dyDescent="0.25">
      <c r="A462" t="s">
        <v>2969</v>
      </c>
      <c r="D462" s="9">
        <f>Parameters!$D$19</f>
        <v>1E-4</v>
      </c>
      <c r="E462" s="9">
        <f>Parameters!$E$19</f>
        <v>1</v>
      </c>
      <c r="H462" s="9" t="s">
        <v>2970</v>
      </c>
      <c r="I462" s="9">
        <v>-1</v>
      </c>
      <c r="J462" s="9">
        <v>5</v>
      </c>
      <c r="L462" s="22" t="s">
        <v>6308</v>
      </c>
      <c r="M462" s="24" t="s">
        <v>6309</v>
      </c>
      <c r="N462" s="24"/>
      <c r="P462" s="25"/>
    </row>
    <row r="463" spans="1:16" x14ac:dyDescent="0.25">
      <c r="A463" t="s">
        <v>2971</v>
      </c>
      <c r="B463" s="9">
        <f>Parameters!$B$19</f>
        <v>1E-4</v>
      </c>
      <c r="C463" s="9">
        <f>Parameters!$C$19</f>
        <v>1</v>
      </c>
      <c r="D463" s="9">
        <f>Parameters!$D$19</f>
        <v>1E-4</v>
      </c>
      <c r="E463" s="9">
        <f>Parameters!$E$19</f>
        <v>1</v>
      </c>
      <c r="H463" s="9" t="s">
        <v>2972</v>
      </c>
      <c r="I463" s="9">
        <v>1</v>
      </c>
      <c r="J463" s="9">
        <v>13</v>
      </c>
      <c r="L463" s="22" t="s">
        <v>5849</v>
      </c>
      <c r="M463" s="23" t="s">
        <v>5850</v>
      </c>
    </row>
    <row r="464" spans="1:16" x14ac:dyDescent="0.25">
      <c r="A464" t="s">
        <v>2973</v>
      </c>
      <c r="D464" s="9">
        <f>Parameters!$D$19</f>
        <v>1E-4</v>
      </c>
      <c r="E464" s="9">
        <f>Parameters!$E$19</f>
        <v>1</v>
      </c>
      <c r="H464" s="9" t="s">
        <v>2974</v>
      </c>
      <c r="I464" s="9">
        <v>-1</v>
      </c>
      <c r="J464" s="9">
        <v>3</v>
      </c>
      <c r="L464" s="22" t="s">
        <v>5851</v>
      </c>
      <c r="M464" s="23" t="s">
        <v>5852</v>
      </c>
    </row>
    <row r="465" spans="1:26" x14ac:dyDescent="0.25">
      <c r="A465" t="s">
        <v>2975</v>
      </c>
      <c r="D465" s="9">
        <f>Parameters!$D$19</f>
        <v>1E-4</v>
      </c>
      <c r="E465" s="9">
        <f>Parameters!$E$19</f>
        <v>1</v>
      </c>
      <c r="H465" s="9" t="s">
        <v>2976</v>
      </c>
      <c r="I465" s="9">
        <v>-3</v>
      </c>
      <c r="J465" s="9">
        <v>10</v>
      </c>
      <c r="L465" s="22" t="s">
        <v>5853</v>
      </c>
      <c r="M465" s="23" t="s">
        <v>5854</v>
      </c>
    </row>
    <row r="466" spans="1:26" x14ac:dyDescent="0.25">
      <c r="A466" t="s">
        <v>2979</v>
      </c>
      <c r="D466" s="9">
        <f>Parameters!$D$19</f>
        <v>1E-4</v>
      </c>
      <c r="E466" s="9">
        <f>Parameters!$E$19</f>
        <v>1</v>
      </c>
      <c r="H466" s="9" t="s">
        <v>2980</v>
      </c>
      <c r="I466" s="9">
        <v>-1</v>
      </c>
      <c r="J466" s="9">
        <v>7</v>
      </c>
      <c r="L466" s="22" t="s">
        <v>6310</v>
      </c>
      <c r="M466" s="24" t="s">
        <v>6311</v>
      </c>
      <c r="N466" s="24"/>
      <c r="P466" s="25"/>
    </row>
    <row r="467" spans="1:26" s="25" customFormat="1" x14ac:dyDescent="0.25">
      <c r="A467" t="s">
        <v>2981</v>
      </c>
      <c r="B467" s="9"/>
      <c r="C467" s="9"/>
      <c r="D467" s="9">
        <f>Parameters!$D$19</f>
        <v>1E-4</v>
      </c>
      <c r="E467" s="9">
        <f>Parameters!$E$19</f>
        <v>1</v>
      </c>
      <c r="F467"/>
      <c r="G467"/>
      <c r="H467" s="9" t="s">
        <v>2982</v>
      </c>
      <c r="I467" s="9">
        <v>0</v>
      </c>
      <c r="J467" s="9">
        <v>8</v>
      </c>
      <c r="K467"/>
      <c r="L467" s="22" t="s">
        <v>6312</v>
      </c>
      <c r="M467" s="24" t="s">
        <v>6313</v>
      </c>
      <c r="N467" s="24"/>
      <c r="O467"/>
      <c r="Q467"/>
      <c r="R467"/>
      <c r="S467"/>
      <c r="T467"/>
      <c r="U467"/>
      <c r="V467"/>
      <c r="W467"/>
      <c r="X467"/>
      <c r="Y467"/>
      <c r="Z467"/>
    </row>
    <row r="468" spans="1:26" x14ac:dyDescent="0.25">
      <c r="A468" t="s">
        <v>2977</v>
      </c>
      <c r="D468" s="9">
        <f>Parameters!$D$19</f>
        <v>1E-4</v>
      </c>
      <c r="E468" s="9">
        <f>Parameters!$E$19</f>
        <v>1</v>
      </c>
      <c r="H468" s="9" t="s">
        <v>2978</v>
      </c>
      <c r="I468" s="9">
        <v>-100</v>
      </c>
      <c r="J468" s="9">
        <v>3298</v>
      </c>
      <c r="L468" s="22" t="s">
        <v>5855</v>
      </c>
      <c r="M468" s="23" t="s">
        <v>5856</v>
      </c>
    </row>
    <row r="469" spans="1:26" s="25" customFormat="1" x14ac:dyDescent="0.25">
      <c r="A469" t="s">
        <v>2983</v>
      </c>
      <c r="B469" s="9"/>
      <c r="C469" s="9"/>
      <c r="D469" s="9">
        <f>Parameters!$D$19</f>
        <v>1E-4</v>
      </c>
      <c r="E469" s="9">
        <f>Parameters!$E$19</f>
        <v>1</v>
      </c>
      <c r="F469"/>
      <c r="G469"/>
      <c r="H469" s="9" t="s">
        <v>2984</v>
      </c>
      <c r="I469" s="9">
        <v>-1</v>
      </c>
      <c r="J469" s="9">
        <v>51</v>
      </c>
      <c r="K469"/>
      <c r="L469" s="22" t="s">
        <v>5857</v>
      </c>
      <c r="M469" s="23" t="s">
        <v>5858</v>
      </c>
      <c r="N469" s="22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s="25" customFormat="1" x14ac:dyDescent="0.25">
      <c r="A470" t="s">
        <v>2985</v>
      </c>
      <c r="B470" s="9"/>
      <c r="C470" s="9"/>
      <c r="D470" s="9">
        <f>Parameters!$D$19</f>
        <v>1E-4</v>
      </c>
      <c r="E470" s="9">
        <f>Parameters!$E$19</f>
        <v>1</v>
      </c>
      <c r="F470"/>
      <c r="G470"/>
      <c r="H470" s="9" t="s">
        <v>2986</v>
      </c>
      <c r="I470" s="9">
        <v>-2</v>
      </c>
      <c r="J470" s="9">
        <v>21</v>
      </c>
      <c r="K470"/>
      <c r="L470" s="22" t="s">
        <v>5859</v>
      </c>
      <c r="M470" s="23" t="s">
        <v>5860</v>
      </c>
      <c r="N470" s="22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x14ac:dyDescent="0.25">
      <c r="A471" t="s">
        <v>2987</v>
      </c>
      <c r="D471" s="9">
        <f>Parameters!$D$19</f>
        <v>1E-4</v>
      </c>
      <c r="E471" s="9">
        <f>Parameters!$E$19</f>
        <v>1</v>
      </c>
      <c r="H471" s="9" t="s">
        <v>2988</v>
      </c>
      <c r="I471" s="9">
        <v>-1</v>
      </c>
      <c r="J471" s="9">
        <v>11</v>
      </c>
      <c r="L471" s="22" t="s">
        <v>5861</v>
      </c>
      <c r="M471" s="23" t="s">
        <v>5296</v>
      </c>
    </row>
    <row r="472" spans="1:26" x14ac:dyDescent="0.25">
      <c r="A472" t="s">
        <v>2989</v>
      </c>
      <c r="D472" s="9">
        <f>Parameters!$D$19</f>
        <v>1E-4</v>
      </c>
      <c r="E472" s="9">
        <f>Parameters!$E$19</f>
        <v>1</v>
      </c>
      <c r="H472" s="9" t="s">
        <v>2990</v>
      </c>
      <c r="I472" s="9">
        <v>-4</v>
      </c>
      <c r="J472" s="9">
        <v>11</v>
      </c>
      <c r="L472" s="22" t="s">
        <v>5862</v>
      </c>
      <c r="M472" s="23" t="s">
        <v>5863</v>
      </c>
    </row>
    <row r="473" spans="1:26" x14ac:dyDescent="0.25">
      <c r="A473" t="s">
        <v>2991</v>
      </c>
      <c r="D473" s="9">
        <f>Parameters!$D$19</f>
        <v>1E-4</v>
      </c>
      <c r="E473" s="9">
        <f>Parameters!$E$19</f>
        <v>1</v>
      </c>
      <c r="H473" s="9" t="s">
        <v>2992</v>
      </c>
      <c r="I473" s="9">
        <v>-4</v>
      </c>
      <c r="J473" s="9">
        <v>11</v>
      </c>
      <c r="L473" s="22" t="s">
        <v>5864</v>
      </c>
      <c r="M473" s="23" t="s">
        <v>5865</v>
      </c>
    </row>
    <row r="474" spans="1:26" x14ac:dyDescent="0.25">
      <c r="A474" t="s">
        <v>2993</v>
      </c>
      <c r="D474" s="9">
        <f>Parameters!$D$19</f>
        <v>1E-4</v>
      </c>
      <c r="E474" s="9">
        <f>Parameters!$E$19</f>
        <v>1</v>
      </c>
      <c r="H474" s="9" t="s">
        <v>2994</v>
      </c>
      <c r="I474" s="9">
        <v>0</v>
      </c>
      <c r="J474" s="9">
        <v>4048</v>
      </c>
      <c r="L474" s="22" t="s">
        <v>6314</v>
      </c>
      <c r="M474" s="24" t="s">
        <v>6315</v>
      </c>
      <c r="N474" s="24"/>
      <c r="P474" s="25"/>
    </row>
    <row r="475" spans="1:26" x14ac:dyDescent="0.25">
      <c r="A475" t="s">
        <v>2995</v>
      </c>
      <c r="D475" s="9">
        <f>Parameters!$D$19</f>
        <v>1E-4</v>
      </c>
      <c r="E475" s="9">
        <f>Parameters!$E$19</f>
        <v>1</v>
      </c>
      <c r="H475" s="9" t="s">
        <v>2996</v>
      </c>
      <c r="I475" s="9">
        <v>-2</v>
      </c>
      <c r="J475" s="9">
        <v>10</v>
      </c>
      <c r="L475" s="22" t="s">
        <v>5866</v>
      </c>
      <c r="M475" s="23" t="s">
        <v>5867</v>
      </c>
    </row>
    <row r="476" spans="1:26" x14ac:dyDescent="0.25">
      <c r="A476" t="s">
        <v>2999</v>
      </c>
      <c r="D476" s="9">
        <f>Parameters!$D$19</f>
        <v>1E-4</v>
      </c>
      <c r="E476" s="9">
        <f>Parameters!$E$19</f>
        <v>1</v>
      </c>
      <c r="H476" s="9" t="s">
        <v>3000</v>
      </c>
      <c r="I476" s="9">
        <v>1</v>
      </c>
      <c r="J476" s="9">
        <v>12</v>
      </c>
      <c r="L476" s="22" t="s">
        <v>6316</v>
      </c>
      <c r="M476" s="24" t="s">
        <v>6317</v>
      </c>
      <c r="N476" s="24"/>
      <c r="P476" s="25"/>
    </row>
    <row r="477" spans="1:26" x14ac:dyDescent="0.25">
      <c r="A477" t="s">
        <v>2997</v>
      </c>
      <c r="D477" s="9">
        <f>Parameters!$D$19</f>
        <v>1E-4</v>
      </c>
      <c r="E477" s="9">
        <f>Parameters!$E$19</f>
        <v>1</v>
      </c>
      <c r="H477" s="9" t="s">
        <v>2998</v>
      </c>
      <c r="I477" s="9">
        <v>0</v>
      </c>
      <c r="J477" s="9">
        <v>3748</v>
      </c>
      <c r="L477" s="22" t="s">
        <v>5868</v>
      </c>
      <c r="M477" s="23" t="s">
        <v>5869</v>
      </c>
    </row>
    <row r="478" spans="1:26" x14ac:dyDescent="0.25">
      <c r="A478" t="s">
        <v>3001</v>
      </c>
      <c r="D478" s="9">
        <f>Parameters!$D$19</f>
        <v>1E-4</v>
      </c>
      <c r="E478" s="9">
        <f>Parameters!$E$19</f>
        <v>1</v>
      </c>
      <c r="H478" s="9" t="s">
        <v>3002</v>
      </c>
      <c r="I478" s="9">
        <v>-3</v>
      </c>
      <c r="J478" s="9">
        <v>2</v>
      </c>
      <c r="L478" s="22" t="s">
        <v>5870</v>
      </c>
      <c r="M478" s="23" t="s">
        <v>5871</v>
      </c>
    </row>
    <row r="479" spans="1:26" x14ac:dyDescent="0.25">
      <c r="A479" t="s">
        <v>3003</v>
      </c>
      <c r="D479" s="9">
        <f>Parameters!$D$19</f>
        <v>1E-4</v>
      </c>
      <c r="E479" s="9">
        <f>Parameters!$E$19</f>
        <v>1</v>
      </c>
      <c r="H479" s="9" t="s">
        <v>3004</v>
      </c>
      <c r="I479" s="9">
        <v>-2</v>
      </c>
      <c r="J479" s="9">
        <v>60</v>
      </c>
      <c r="L479" s="22" t="s">
        <v>5872</v>
      </c>
      <c r="M479" s="23" t="s">
        <v>5873</v>
      </c>
    </row>
    <row r="480" spans="1:26" x14ac:dyDescent="0.25">
      <c r="A480" t="s">
        <v>3005</v>
      </c>
      <c r="D480" s="9">
        <f>Parameters!$D$19</f>
        <v>1E-4</v>
      </c>
      <c r="E480" s="9">
        <f>Parameters!$E$19</f>
        <v>1</v>
      </c>
      <c r="H480" s="9" t="s">
        <v>3006</v>
      </c>
      <c r="I480" s="9">
        <v>-50</v>
      </c>
      <c r="J480" s="9">
        <v>3698</v>
      </c>
      <c r="L480" s="22" t="s">
        <v>5874</v>
      </c>
      <c r="M480" s="23" t="s">
        <v>5875</v>
      </c>
    </row>
    <row r="481" spans="1:26" x14ac:dyDescent="0.25">
      <c r="A481" t="s">
        <v>3007</v>
      </c>
      <c r="D481" s="9">
        <f>Parameters!$D$19</f>
        <v>1E-4</v>
      </c>
      <c r="E481" s="9">
        <f>Parameters!$E$19</f>
        <v>1</v>
      </c>
      <c r="H481" s="9" t="s">
        <v>3008</v>
      </c>
      <c r="I481" s="9">
        <v>-150</v>
      </c>
      <c r="J481" s="9">
        <v>3548</v>
      </c>
      <c r="L481" s="22" t="s">
        <v>5876</v>
      </c>
      <c r="M481" s="23" t="s">
        <v>5877</v>
      </c>
    </row>
    <row r="482" spans="1:26" x14ac:dyDescent="0.25">
      <c r="A482" t="s">
        <v>3009</v>
      </c>
      <c r="D482" s="9">
        <f>Parameters!$D$19</f>
        <v>1E-4</v>
      </c>
      <c r="E482" s="9">
        <f>Parameters!$E$19</f>
        <v>1</v>
      </c>
      <c r="H482" s="9" t="s">
        <v>3010</v>
      </c>
      <c r="I482" s="9">
        <v>-4</v>
      </c>
      <c r="J482" s="9">
        <v>38</v>
      </c>
      <c r="L482" s="22" t="s">
        <v>6318</v>
      </c>
      <c r="M482" s="24" t="s">
        <v>6319</v>
      </c>
      <c r="N482" s="24"/>
      <c r="P482" s="25"/>
    </row>
    <row r="483" spans="1:26" x14ac:dyDescent="0.25">
      <c r="A483" t="s">
        <v>3011</v>
      </c>
      <c r="B483" s="9">
        <f>Parameters!$B$19</f>
        <v>1E-4</v>
      </c>
      <c r="C483" s="9">
        <f>Parameters!$C$19</f>
        <v>1</v>
      </c>
      <c r="D483" s="9">
        <f>Parameters!$D$19</f>
        <v>1E-4</v>
      </c>
      <c r="E483" s="9">
        <f>Parameters!$E$19</f>
        <v>1</v>
      </c>
      <c r="H483" s="9" t="s">
        <v>3012</v>
      </c>
      <c r="I483" s="9">
        <v>0</v>
      </c>
      <c r="J483" s="9">
        <v>11</v>
      </c>
      <c r="L483" s="22" t="s">
        <v>5878</v>
      </c>
      <c r="M483" s="23" t="s">
        <v>5879</v>
      </c>
    </row>
    <row r="484" spans="1:26" x14ac:dyDescent="0.25">
      <c r="A484" t="s">
        <v>3013</v>
      </c>
      <c r="D484" s="9">
        <f>Parameters!$D$19</f>
        <v>1E-4</v>
      </c>
      <c r="E484" s="9">
        <f>Parameters!$E$19</f>
        <v>1</v>
      </c>
      <c r="H484" s="9" t="s">
        <v>3014</v>
      </c>
      <c r="I484" s="9">
        <v>-2</v>
      </c>
      <c r="J484" s="9">
        <v>30</v>
      </c>
      <c r="L484" s="22" t="s">
        <v>6320</v>
      </c>
      <c r="M484" s="24" t="s">
        <v>6321</v>
      </c>
      <c r="N484" s="24"/>
      <c r="P484" s="25"/>
    </row>
    <row r="485" spans="1:26" x14ac:dyDescent="0.25">
      <c r="A485" t="s">
        <v>3015</v>
      </c>
      <c r="D485" s="9">
        <f>Parameters!$D$19</f>
        <v>1E-4</v>
      </c>
      <c r="E485" s="9">
        <f>Parameters!$E$19</f>
        <v>1</v>
      </c>
      <c r="H485" s="9" t="s">
        <v>3016</v>
      </c>
      <c r="I485" s="9">
        <v>-2</v>
      </c>
      <c r="J485" s="9">
        <v>8</v>
      </c>
      <c r="L485" s="22" t="s">
        <v>5880</v>
      </c>
      <c r="M485" s="23" t="s">
        <v>5881</v>
      </c>
    </row>
    <row r="486" spans="1:26" x14ac:dyDescent="0.25">
      <c r="A486" t="s">
        <v>3017</v>
      </c>
      <c r="D486" s="9">
        <f>Parameters!$D$19</f>
        <v>1E-4</v>
      </c>
      <c r="E486" s="9">
        <f>Parameters!$E$19</f>
        <v>1</v>
      </c>
      <c r="H486" s="9" t="s">
        <v>3018</v>
      </c>
      <c r="I486" s="9">
        <v>-1</v>
      </c>
      <c r="J486" s="9">
        <v>7</v>
      </c>
      <c r="L486" s="22" t="s">
        <v>5882</v>
      </c>
      <c r="M486" s="23" t="s">
        <v>5355</v>
      </c>
    </row>
    <row r="487" spans="1:26" x14ac:dyDescent="0.25">
      <c r="A487" t="s">
        <v>3019</v>
      </c>
      <c r="D487" s="9">
        <f>Parameters!$D$19</f>
        <v>1E-4</v>
      </c>
      <c r="E487" s="9">
        <f>Parameters!$E$19</f>
        <v>1</v>
      </c>
      <c r="H487" s="9" t="s">
        <v>3020</v>
      </c>
      <c r="I487" s="9">
        <v>-2</v>
      </c>
      <c r="J487" s="9">
        <v>8</v>
      </c>
      <c r="L487" s="22" t="s">
        <v>6322</v>
      </c>
      <c r="M487" s="24" t="s">
        <v>6323</v>
      </c>
      <c r="N487" s="24"/>
      <c r="P487" s="25"/>
    </row>
    <row r="488" spans="1:26" s="25" customFormat="1" x14ac:dyDescent="0.25">
      <c r="A488" t="s">
        <v>3021</v>
      </c>
      <c r="B488" s="9">
        <f>Parameters!$B$19</f>
        <v>1E-4</v>
      </c>
      <c r="C488" s="9">
        <f>Parameters!$C$19</f>
        <v>1</v>
      </c>
      <c r="D488" s="9">
        <f>Parameters!$D$19</f>
        <v>1E-4</v>
      </c>
      <c r="E488" s="9">
        <f>Parameters!$E$19</f>
        <v>1</v>
      </c>
      <c r="F488"/>
      <c r="G488"/>
      <c r="H488" s="9" t="s">
        <v>3022</v>
      </c>
      <c r="I488" s="9">
        <v>-2</v>
      </c>
      <c r="J488" s="9">
        <v>1</v>
      </c>
      <c r="K488"/>
      <c r="L488" s="22" t="s">
        <v>5883</v>
      </c>
      <c r="M488" s="23" t="s">
        <v>5884</v>
      </c>
      <c r="N488" s="22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s="25" customFormat="1" x14ac:dyDescent="0.25">
      <c r="A489" t="s">
        <v>3023</v>
      </c>
      <c r="B489" s="9"/>
      <c r="C489" s="9"/>
      <c r="D489" s="9">
        <f>Parameters!$D$19</f>
        <v>1E-4</v>
      </c>
      <c r="E489" s="9">
        <f>Parameters!$E$19</f>
        <v>1</v>
      </c>
      <c r="F489"/>
      <c r="G489"/>
      <c r="H489" s="9" t="s">
        <v>3024</v>
      </c>
      <c r="I489" s="9">
        <v>-5</v>
      </c>
      <c r="J489" s="9">
        <v>37</v>
      </c>
      <c r="K489"/>
      <c r="L489" s="22" t="s">
        <v>6324</v>
      </c>
      <c r="M489" s="24" t="s">
        <v>6325</v>
      </c>
      <c r="N489" s="24"/>
      <c r="O489"/>
      <c r="Q489"/>
      <c r="R489"/>
      <c r="S489"/>
      <c r="T489"/>
      <c r="U489"/>
      <c r="V489"/>
      <c r="W489"/>
      <c r="X489"/>
      <c r="Y489"/>
      <c r="Z489"/>
    </row>
    <row r="490" spans="1:26" x14ac:dyDescent="0.25">
      <c r="A490" t="s">
        <v>3025</v>
      </c>
      <c r="B490" s="9">
        <f>Parameters!$B$19</f>
        <v>1E-4</v>
      </c>
      <c r="C490" s="9">
        <f>Parameters!$C$19</f>
        <v>1</v>
      </c>
      <c r="D490" s="9">
        <f>Parameters!$D$19</f>
        <v>1E-4</v>
      </c>
      <c r="E490" s="9">
        <f>Parameters!$E$19</f>
        <v>1</v>
      </c>
      <c r="H490" s="9" t="s">
        <v>3026</v>
      </c>
      <c r="I490" s="9">
        <v>-1</v>
      </c>
      <c r="J490" s="9">
        <v>16</v>
      </c>
      <c r="L490" s="22" t="s">
        <v>5885</v>
      </c>
      <c r="M490" s="23" t="s">
        <v>5886</v>
      </c>
    </row>
    <row r="491" spans="1:26" x14ac:dyDescent="0.25">
      <c r="A491" t="s">
        <v>3027</v>
      </c>
      <c r="D491" s="9">
        <f>Parameters!$D$19</f>
        <v>1E-4</v>
      </c>
      <c r="E491" s="9">
        <f>Parameters!$E$19</f>
        <v>1</v>
      </c>
      <c r="H491" s="9" t="s">
        <v>3028</v>
      </c>
      <c r="I491" s="9">
        <v>-1</v>
      </c>
      <c r="J491" s="9">
        <v>5</v>
      </c>
      <c r="L491" s="22" t="s">
        <v>5887</v>
      </c>
      <c r="M491" s="23" t="s">
        <v>5888</v>
      </c>
    </row>
    <row r="492" spans="1:26" x14ac:dyDescent="0.25">
      <c r="A492" t="s">
        <v>3029</v>
      </c>
      <c r="D492" s="9">
        <f>Parameters!$D$19</f>
        <v>1E-4</v>
      </c>
      <c r="E492" s="9">
        <f>Parameters!$E$19</f>
        <v>1</v>
      </c>
      <c r="H492" s="9" t="s">
        <v>3030</v>
      </c>
      <c r="I492" s="9">
        <v>-2</v>
      </c>
      <c r="J492" s="9">
        <v>5</v>
      </c>
      <c r="L492" s="22" t="s">
        <v>5889</v>
      </c>
      <c r="M492" s="23" t="s">
        <v>5890</v>
      </c>
    </row>
    <row r="493" spans="1:26" x14ac:dyDescent="0.25">
      <c r="A493" t="s">
        <v>3031</v>
      </c>
      <c r="D493" s="9">
        <f>Parameters!$D$19</f>
        <v>1E-4</v>
      </c>
      <c r="E493" s="9">
        <f>Parameters!$E$19</f>
        <v>1</v>
      </c>
      <c r="H493" s="9" t="s">
        <v>3032</v>
      </c>
      <c r="I493" s="9">
        <v>-1</v>
      </c>
      <c r="J493" s="9">
        <v>13</v>
      </c>
      <c r="L493" s="22" t="s">
        <v>6326</v>
      </c>
      <c r="M493" s="24" t="s">
        <v>6327</v>
      </c>
      <c r="N493" s="24"/>
      <c r="P493" s="25"/>
    </row>
    <row r="494" spans="1:26" x14ac:dyDescent="0.25">
      <c r="A494" t="s">
        <v>3033</v>
      </c>
      <c r="D494" s="9">
        <f>Parameters!$D$19</f>
        <v>1E-4</v>
      </c>
      <c r="E494" s="9">
        <f>Parameters!$E$19</f>
        <v>1</v>
      </c>
      <c r="H494" s="9" t="s">
        <v>3034</v>
      </c>
      <c r="I494" s="9">
        <v>-4</v>
      </c>
      <c r="J494" s="9">
        <v>36</v>
      </c>
      <c r="L494" s="22" t="s">
        <v>5891</v>
      </c>
      <c r="M494" s="23" t="s">
        <v>5892</v>
      </c>
    </row>
    <row r="495" spans="1:26" x14ac:dyDescent="0.25">
      <c r="A495" t="s">
        <v>3035</v>
      </c>
      <c r="D495" s="9">
        <f>Parameters!$D$19</f>
        <v>1E-4</v>
      </c>
      <c r="E495" s="9">
        <f>Parameters!$E$19</f>
        <v>1</v>
      </c>
      <c r="H495" s="9" t="s">
        <v>3036</v>
      </c>
      <c r="I495" s="9">
        <v>-2</v>
      </c>
      <c r="J495" s="9">
        <v>8</v>
      </c>
      <c r="L495" s="22" t="s">
        <v>5893</v>
      </c>
      <c r="M495" s="23" t="s">
        <v>5516</v>
      </c>
    </row>
    <row r="496" spans="1:26" x14ac:dyDescent="0.25">
      <c r="A496" t="s">
        <v>3037</v>
      </c>
      <c r="D496" s="9">
        <f>Parameters!$D$19</f>
        <v>1E-4</v>
      </c>
      <c r="E496" s="9">
        <f>Parameters!$E$19</f>
        <v>1</v>
      </c>
      <c r="H496" s="9" t="s">
        <v>3038</v>
      </c>
      <c r="I496" s="9">
        <v>-3</v>
      </c>
      <c r="J496" s="9">
        <v>1</v>
      </c>
      <c r="L496" s="22" t="s">
        <v>5894</v>
      </c>
      <c r="M496" s="23" t="s">
        <v>5895</v>
      </c>
    </row>
    <row r="497" spans="1:16" x14ac:dyDescent="0.25">
      <c r="A497" t="s">
        <v>3039</v>
      </c>
      <c r="D497" s="9">
        <f>Parameters!$D$19</f>
        <v>1E-4</v>
      </c>
      <c r="E497" s="9">
        <f>Parameters!$E$19</f>
        <v>1</v>
      </c>
      <c r="H497" s="9" t="s">
        <v>3040</v>
      </c>
      <c r="I497" s="9">
        <v>-2</v>
      </c>
      <c r="J497" s="9">
        <v>32</v>
      </c>
      <c r="L497" s="22" t="s">
        <v>6328</v>
      </c>
      <c r="M497" s="24" t="s">
        <v>6329</v>
      </c>
      <c r="N497" s="24"/>
      <c r="P497" s="25"/>
    </row>
    <row r="498" spans="1:16" x14ac:dyDescent="0.25">
      <c r="A498" t="s">
        <v>3041</v>
      </c>
      <c r="D498" s="9">
        <f>Parameters!$D$19</f>
        <v>1E-4</v>
      </c>
      <c r="E498" s="9">
        <f>Parameters!$E$19</f>
        <v>1</v>
      </c>
      <c r="H498" s="9" t="s">
        <v>3042</v>
      </c>
      <c r="I498" s="9">
        <v>-2</v>
      </c>
      <c r="J498" s="9">
        <v>38</v>
      </c>
      <c r="L498" s="22" t="s">
        <v>6330</v>
      </c>
      <c r="M498" s="24" t="s">
        <v>6331</v>
      </c>
      <c r="N498" s="24"/>
      <c r="P498" s="25"/>
    </row>
    <row r="499" spans="1:16" x14ac:dyDescent="0.25">
      <c r="A499" t="s">
        <v>3043</v>
      </c>
      <c r="D499" s="9">
        <f>Parameters!$D$19</f>
        <v>1E-4</v>
      </c>
      <c r="E499" s="9">
        <f>Parameters!$E$19</f>
        <v>1</v>
      </c>
      <c r="H499" s="9" t="s">
        <v>3044</v>
      </c>
      <c r="I499" s="9">
        <v>-4</v>
      </c>
      <c r="J499" s="9">
        <v>1</v>
      </c>
      <c r="L499" s="22" t="s">
        <v>6332</v>
      </c>
      <c r="M499" s="24" t="s">
        <v>6333</v>
      </c>
      <c r="N499" s="24"/>
      <c r="P499" s="25"/>
    </row>
    <row r="500" spans="1:16" x14ac:dyDescent="0.25">
      <c r="A500" t="s">
        <v>3045</v>
      </c>
      <c r="B500" s="9">
        <f>Parameters!$B$19</f>
        <v>1E-4</v>
      </c>
      <c r="C500" s="9">
        <f>Parameters!$C$19</f>
        <v>1</v>
      </c>
      <c r="D500" s="9">
        <f>Parameters!$D$19</f>
        <v>1E-4</v>
      </c>
      <c r="E500" s="9">
        <f>Parameters!$E$19</f>
        <v>1</v>
      </c>
      <c r="H500" s="9" t="s">
        <v>3046</v>
      </c>
      <c r="I500" s="9">
        <v>-1</v>
      </c>
      <c r="J500" s="9">
        <v>9</v>
      </c>
      <c r="L500" s="22" t="s">
        <v>5896</v>
      </c>
      <c r="M500" s="23" t="s">
        <v>5897</v>
      </c>
    </row>
    <row r="501" spans="1:16" x14ac:dyDescent="0.25">
      <c r="A501" t="s">
        <v>3047</v>
      </c>
      <c r="D501" s="9">
        <f>Parameters!$D$19</f>
        <v>1E-4</v>
      </c>
      <c r="E501" s="9">
        <f>Parameters!$E$19</f>
        <v>1</v>
      </c>
      <c r="H501" s="9" t="s">
        <v>3048</v>
      </c>
      <c r="I501" s="9">
        <v>-1</v>
      </c>
      <c r="J501" s="9">
        <v>11</v>
      </c>
      <c r="L501" s="22" t="s">
        <v>5898</v>
      </c>
      <c r="M501" s="23" t="s">
        <v>5899</v>
      </c>
    </row>
    <row r="502" spans="1:16" x14ac:dyDescent="0.25">
      <c r="A502" t="s">
        <v>3049</v>
      </c>
      <c r="D502" s="9">
        <f>Parameters!$D$19</f>
        <v>1E-4</v>
      </c>
      <c r="E502" s="9">
        <f>Parameters!$E$19</f>
        <v>1</v>
      </c>
      <c r="H502" s="9" t="s">
        <v>3050</v>
      </c>
      <c r="I502" s="9">
        <v>-3</v>
      </c>
      <c r="J502" s="9">
        <v>13</v>
      </c>
      <c r="L502" s="22" t="s">
        <v>5900</v>
      </c>
      <c r="M502" s="23" t="s">
        <v>5311</v>
      </c>
    </row>
    <row r="503" spans="1:16" x14ac:dyDescent="0.25">
      <c r="A503" t="s">
        <v>3051</v>
      </c>
      <c r="D503" s="9">
        <f>Parameters!$D$19</f>
        <v>1E-4</v>
      </c>
      <c r="E503" s="9">
        <f>Parameters!$E$19</f>
        <v>1</v>
      </c>
      <c r="H503" s="9" t="s">
        <v>3052</v>
      </c>
      <c r="I503" s="9">
        <v>-4</v>
      </c>
      <c r="J503" s="9">
        <v>19</v>
      </c>
      <c r="L503" s="22" t="s">
        <v>6334</v>
      </c>
      <c r="M503" s="24" t="s">
        <v>6335</v>
      </c>
      <c r="N503" s="24"/>
      <c r="P503" s="25"/>
    </row>
    <row r="504" spans="1:16" x14ac:dyDescent="0.25">
      <c r="A504" t="s">
        <v>3053</v>
      </c>
      <c r="D504" s="9">
        <f>Parameters!$D$19</f>
        <v>1E-4</v>
      </c>
      <c r="E504" s="9">
        <f>Parameters!$E$19</f>
        <v>1</v>
      </c>
      <c r="H504" s="9" t="s">
        <v>3054</v>
      </c>
      <c r="I504" s="9">
        <v>-6</v>
      </c>
      <c r="J504" s="9">
        <v>19</v>
      </c>
      <c r="L504" s="22" t="s">
        <v>6336</v>
      </c>
      <c r="M504" s="24" t="s">
        <v>6337</v>
      </c>
      <c r="N504" s="24"/>
      <c r="P504" s="25"/>
    </row>
    <row r="505" spans="1:16" x14ac:dyDescent="0.25">
      <c r="A505" t="s">
        <v>3055</v>
      </c>
      <c r="D505" s="9">
        <f>Parameters!$D$19</f>
        <v>1E-4</v>
      </c>
      <c r="E505" s="9">
        <f>Parameters!$E$19</f>
        <v>1</v>
      </c>
      <c r="H505" s="9" t="s">
        <v>3056</v>
      </c>
      <c r="I505" s="9">
        <v>-4</v>
      </c>
      <c r="J505" s="9">
        <v>21</v>
      </c>
      <c r="L505" s="22" t="s">
        <v>5901</v>
      </c>
      <c r="M505" s="23" t="s">
        <v>5902</v>
      </c>
    </row>
    <row r="506" spans="1:16" x14ac:dyDescent="0.25">
      <c r="A506" t="s">
        <v>3057</v>
      </c>
      <c r="D506" s="9">
        <f>Parameters!$D$19</f>
        <v>1E-4</v>
      </c>
      <c r="E506" s="9">
        <f>Parameters!$E$19</f>
        <v>1</v>
      </c>
      <c r="H506" s="9" t="s">
        <v>3058</v>
      </c>
      <c r="I506" s="9">
        <v>-4</v>
      </c>
      <c r="J506" s="9">
        <v>21</v>
      </c>
      <c r="L506" s="22" t="s">
        <v>5903</v>
      </c>
      <c r="M506" s="23" t="s">
        <v>5902</v>
      </c>
    </row>
    <row r="507" spans="1:16" x14ac:dyDescent="0.25">
      <c r="A507" t="s">
        <v>3059</v>
      </c>
      <c r="B507" s="9">
        <f>Parameters!$B$19</f>
        <v>1E-4</v>
      </c>
      <c r="C507" s="9">
        <f>Parameters!$C$19</f>
        <v>1</v>
      </c>
      <c r="D507" s="9">
        <f>Parameters!$D$19</f>
        <v>1E-4</v>
      </c>
      <c r="E507" s="9">
        <f>Parameters!$E$19</f>
        <v>1</v>
      </c>
      <c r="H507" s="9" t="s">
        <v>3060</v>
      </c>
      <c r="I507" s="9">
        <v>0</v>
      </c>
      <c r="J507" s="9">
        <v>9</v>
      </c>
      <c r="L507" s="22" t="s">
        <v>5904</v>
      </c>
      <c r="M507" s="23" t="s">
        <v>5905</v>
      </c>
    </row>
    <row r="508" spans="1:16" x14ac:dyDescent="0.25">
      <c r="A508" t="s">
        <v>3061</v>
      </c>
      <c r="D508" s="9">
        <f>Parameters!$D$19</f>
        <v>1E-4</v>
      </c>
      <c r="E508" s="9">
        <f>Parameters!$E$19</f>
        <v>1</v>
      </c>
      <c r="H508" s="9" t="s">
        <v>3062</v>
      </c>
      <c r="I508" s="9">
        <v>-5</v>
      </c>
      <c r="J508" s="9">
        <v>8</v>
      </c>
      <c r="L508" s="22" t="s">
        <v>5906</v>
      </c>
      <c r="M508" s="23" t="s">
        <v>5907</v>
      </c>
    </row>
    <row r="509" spans="1:16" x14ac:dyDescent="0.25">
      <c r="A509" t="s">
        <v>3063</v>
      </c>
      <c r="D509" s="9">
        <f>Parameters!$D$19</f>
        <v>1E-4</v>
      </c>
      <c r="E509" s="9">
        <f>Parameters!$E$19</f>
        <v>1</v>
      </c>
      <c r="H509" s="9" t="s">
        <v>3064</v>
      </c>
      <c r="I509" s="9">
        <v>-50</v>
      </c>
      <c r="J509" s="9">
        <v>3648</v>
      </c>
      <c r="L509" s="22" t="s">
        <v>5908</v>
      </c>
      <c r="M509" s="23" t="s">
        <v>5909</v>
      </c>
    </row>
    <row r="510" spans="1:16" x14ac:dyDescent="0.25">
      <c r="A510" t="s">
        <v>3065</v>
      </c>
      <c r="D510" s="9">
        <f>Parameters!$D$19</f>
        <v>1E-4</v>
      </c>
      <c r="E510" s="9">
        <f>Parameters!$E$19</f>
        <v>1</v>
      </c>
      <c r="H510" s="9" t="s">
        <v>3066</v>
      </c>
      <c r="I510" s="9">
        <v>-2</v>
      </c>
      <c r="J510" s="9">
        <v>6</v>
      </c>
      <c r="L510" s="22" t="s">
        <v>5910</v>
      </c>
      <c r="M510" s="23" t="s">
        <v>5911</v>
      </c>
    </row>
    <row r="511" spans="1:16" x14ac:dyDescent="0.25">
      <c r="A511" t="s">
        <v>3067</v>
      </c>
      <c r="B511" s="9">
        <f>Parameters!$B$19</f>
        <v>1E-4</v>
      </c>
      <c r="C511" s="9">
        <f>Parameters!$C$19</f>
        <v>1</v>
      </c>
      <c r="D511" s="9">
        <f>Parameters!$D$19</f>
        <v>1E-4</v>
      </c>
      <c r="E511" s="9">
        <f>Parameters!$E$19</f>
        <v>1</v>
      </c>
      <c r="H511" s="9" t="s">
        <v>3068</v>
      </c>
      <c r="I511" s="9">
        <v>2</v>
      </c>
      <c r="J511" s="9">
        <v>14</v>
      </c>
      <c r="L511" s="22" t="s">
        <v>5912</v>
      </c>
      <c r="M511" s="23" t="s">
        <v>5913</v>
      </c>
    </row>
    <row r="512" spans="1:16" x14ac:dyDescent="0.25">
      <c r="A512" t="s">
        <v>3069</v>
      </c>
      <c r="D512" s="9">
        <f>Parameters!$D$19</f>
        <v>1E-4</v>
      </c>
      <c r="E512" s="9">
        <f>Parameters!$E$19</f>
        <v>1</v>
      </c>
      <c r="H512" s="9" t="s">
        <v>3070</v>
      </c>
      <c r="I512" s="9">
        <v>-1</v>
      </c>
      <c r="J512" s="9">
        <v>12</v>
      </c>
      <c r="L512" s="22" t="s">
        <v>5914</v>
      </c>
      <c r="M512" s="23" t="s">
        <v>5915</v>
      </c>
    </row>
    <row r="513" spans="1:16" x14ac:dyDescent="0.25">
      <c r="A513" t="s">
        <v>3071</v>
      </c>
      <c r="D513" s="9">
        <f>Parameters!$D$19</f>
        <v>1E-4</v>
      </c>
      <c r="E513" s="9">
        <f>Parameters!$E$19</f>
        <v>1</v>
      </c>
      <c r="H513" s="9" t="s">
        <v>3072</v>
      </c>
      <c r="I513" s="9">
        <v>1</v>
      </c>
      <c r="J513" s="9">
        <v>13</v>
      </c>
      <c r="L513" s="22" t="s">
        <v>5916</v>
      </c>
      <c r="M513" s="23" t="s">
        <v>5917</v>
      </c>
    </row>
    <row r="514" spans="1:16" x14ac:dyDescent="0.25">
      <c r="A514" t="s">
        <v>3073</v>
      </c>
      <c r="D514" s="9">
        <f>Parameters!$D$19</f>
        <v>1E-4</v>
      </c>
      <c r="E514" s="9">
        <f>Parameters!$E$19</f>
        <v>1</v>
      </c>
      <c r="H514" s="9" t="s">
        <v>3074</v>
      </c>
      <c r="I514" s="9">
        <v>0</v>
      </c>
      <c r="J514" s="9">
        <v>9</v>
      </c>
      <c r="L514" s="22" t="s">
        <v>5918</v>
      </c>
      <c r="M514" s="23" t="s">
        <v>5919</v>
      </c>
    </row>
    <row r="515" spans="1:16" x14ac:dyDescent="0.25">
      <c r="A515" t="s">
        <v>3075</v>
      </c>
      <c r="D515" s="9">
        <f>Parameters!$D$19</f>
        <v>1E-4</v>
      </c>
      <c r="E515" s="9">
        <f>Parameters!$E$19</f>
        <v>1</v>
      </c>
      <c r="H515" s="9" t="s">
        <v>3076</v>
      </c>
      <c r="I515" s="9">
        <v>-2</v>
      </c>
      <c r="J515" s="9">
        <v>8</v>
      </c>
      <c r="L515" s="22" t="s">
        <v>5920</v>
      </c>
      <c r="M515" s="23" t="s">
        <v>5921</v>
      </c>
    </row>
    <row r="516" spans="1:16" x14ac:dyDescent="0.25">
      <c r="A516" t="s">
        <v>3077</v>
      </c>
      <c r="D516" s="9">
        <f>Parameters!$D$19</f>
        <v>1E-4</v>
      </c>
      <c r="E516" s="9">
        <f>Parameters!$E$19</f>
        <v>1</v>
      </c>
      <c r="H516" s="9" t="s">
        <v>3078</v>
      </c>
      <c r="I516" s="9">
        <v>0</v>
      </c>
      <c r="J516" s="9">
        <v>11</v>
      </c>
      <c r="L516" s="22" t="s">
        <v>5922</v>
      </c>
      <c r="M516" s="23" t="s">
        <v>5923</v>
      </c>
    </row>
    <row r="517" spans="1:16" x14ac:dyDescent="0.25">
      <c r="A517" t="s">
        <v>3079</v>
      </c>
      <c r="B517" s="9">
        <f>Parameters!$B$19</f>
        <v>1E-4</v>
      </c>
      <c r="C517" s="9">
        <f>Parameters!$C$19</f>
        <v>1</v>
      </c>
      <c r="D517" s="9">
        <f>Parameters!$D$19</f>
        <v>1E-4</v>
      </c>
      <c r="E517" s="9">
        <f>Parameters!$E$19</f>
        <v>1</v>
      </c>
      <c r="H517" s="9" t="s">
        <v>3080</v>
      </c>
      <c r="I517" s="9">
        <v>-1</v>
      </c>
      <c r="J517" s="9">
        <v>3</v>
      </c>
      <c r="L517" s="22" t="s">
        <v>5924</v>
      </c>
      <c r="M517" s="23" t="s">
        <v>5925</v>
      </c>
    </row>
    <row r="518" spans="1:16" x14ac:dyDescent="0.25">
      <c r="A518" t="s">
        <v>3081</v>
      </c>
      <c r="D518" s="9">
        <f>Parameters!$D$19</f>
        <v>1E-4</v>
      </c>
      <c r="E518" s="9">
        <f>Parameters!$E$19</f>
        <v>1</v>
      </c>
      <c r="H518" s="9" t="s">
        <v>3082</v>
      </c>
      <c r="I518" s="9">
        <v>0</v>
      </c>
      <c r="J518" s="9">
        <v>74</v>
      </c>
      <c r="L518" s="22" t="s">
        <v>5926</v>
      </c>
      <c r="M518" s="23" t="s">
        <v>5927</v>
      </c>
    </row>
    <row r="519" spans="1:16" x14ac:dyDescent="0.25">
      <c r="A519" t="s">
        <v>3083</v>
      </c>
      <c r="D519" s="9">
        <f>Parameters!$D$19</f>
        <v>1E-4</v>
      </c>
      <c r="E519" s="9">
        <f>Parameters!$E$19</f>
        <v>1</v>
      </c>
      <c r="H519" s="9" t="s">
        <v>3084</v>
      </c>
      <c r="I519" s="9">
        <v>0</v>
      </c>
      <c r="J519" s="9">
        <v>76</v>
      </c>
      <c r="L519" s="22" t="s">
        <v>5928</v>
      </c>
      <c r="M519" s="23" t="s">
        <v>5929</v>
      </c>
    </row>
    <row r="520" spans="1:16" x14ac:dyDescent="0.25">
      <c r="A520" t="s">
        <v>3085</v>
      </c>
      <c r="D520" s="9">
        <f>Parameters!$D$19</f>
        <v>1E-4</v>
      </c>
      <c r="E520" s="9">
        <f>Parameters!$E$19</f>
        <v>1</v>
      </c>
      <c r="H520" s="9" t="s">
        <v>3086</v>
      </c>
      <c r="I520" s="9">
        <v>-2</v>
      </c>
      <c r="J520" s="9">
        <v>3</v>
      </c>
      <c r="L520" s="22" t="s">
        <v>5930</v>
      </c>
      <c r="M520" s="23" t="s">
        <v>5931</v>
      </c>
    </row>
    <row r="521" spans="1:16" x14ac:dyDescent="0.25">
      <c r="A521" t="s">
        <v>3087</v>
      </c>
      <c r="D521" s="9">
        <f>Parameters!$D$19</f>
        <v>1E-4</v>
      </c>
      <c r="E521" s="9">
        <f>Parameters!$E$19</f>
        <v>1</v>
      </c>
      <c r="H521" s="9" t="s">
        <v>3088</v>
      </c>
      <c r="I521" s="9">
        <v>-2</v>
      </c>
      <c r="J521" s="9">
        <v>9</v>
      </c>
      <c r="L521" s="22" t="s">
        <v>5932</v>
      </c>
      <c r="M521" s="23" t="s">
        <v>5485</v>
      </c>
    </row>
    <row r="522" spans="1:16" x14ac:dyDescent="0.25">
      <c r="A522" t="s">
        <v>3089</v>
      </c>
      <c r="D522" s="9">
        <f>Parameters!$D$19</f>
        <v>1E-4</v>
      </c>
      <c r="E522" s="9">
        <f>Parameters!$E$19</f>
        <v>1</v>
      </c>
      <c r="H522" s="9" t="s">
        <v>3090</v>
      </c>
      <c r="I522" s="9">
        <v>-2</v>
      </c>
      <c r="J522" s="9">
        <v>9</v>
      </c>
      <c r="L522" s="22" t="s">
        <v>5933</v>
      </c>
      <c r="M522" s="23" t="s">
        <v>5485</v>
      </c>
    </row>
    <row r="523" spans="1:16" x14ac:dyDescent="0.25">
      <c r="A523" t="s">
        <v>3091</v>
      </c>
      <c r="D523" s="9">
        <f>Parameters!$D$19</f>
        <v>1E-4</v>
      </c>
      <c r="E523" s="9">
        <f>Parameters!$E$19</f>
        <v>1</v>
      </c>
      <c r="H523" s="9" t="s">
        <v>3092</v>
      </c>
      <c r="I523" s="9">
        <v>0</v>
      </c>
      <c r="J523" s="9">
        <v>10</v>
      </c>
      <c r="L523" s="22" t="s">
        <v>6338</v>
      </c>
      <c r="M523" s="24" t="s">
        <v>5487</v>
      </c>
      <c r="N523" s="24"/>
      <c r="P523" s="25"/>
    </row>
    <row r="524" spans="1:16" x14ac:dyDescent="0.25">
      <c r="A524" t="s">
        <v>3093</v>
      </c>
      <c r="D524" s="9">
        <f>Parameters!$D$19</f>
        <v>1E-4</v>
      </c>
      <c r="E524" s="9">
        <f>Parameters!$E$19</f>
        <v>1</v>
      </c>
      <c r="H524" s="9" t="s">
        <v>3094</v>
      </c>
      <c r="I524" s="9">
        <v>0</v>
      </c>
      <c r="J524" s="9">
        <v>18</v>
      </c>
      <c r="L524" s="22" t="s">
        <v>6339</v>
      </c>
      <c r="M524" s="24" t="s">
        <v>6340</v>
      </c>
      <c r="N524" s="24"/>
      <c r="P524" s="25"/>
    </row>
    <row r="525" spans="1:16" x14ac:dyDescent="0.25">
      <c r="A525" t="s">
        <v>3095</v>
      </c>
      <c r="D525" s="9">
        <f>Parameters!$D$19</f>
        <v>1E-4</v>
      </c>
      <c r="E525" s="9">
        <f>Parameters!$E$19</f>
        <v>1</v>
      </c>
      <c r="H525" s="9" t="s">
        <v>3096</v>
      </c>
      <c r="I525" s="9">
        <v>0</v>
      </c>
      <c r="J525" s="9">
        <v>17</v>
      </c>
      <c r="L525" s="22" t="s">
        <v>6341</v>
      </c>
      <c r="M525" s="24" t="s">
        <v>6342</v>
      </c>
      <c r="N525" s="24"/>
      <c r="P525" s="25"/>
    </row>
    <row r="526" spans="1:16" x14ac:dyDescent="0.25">
      <c r="A526" t="s">
        <v>3097</v>
      </c>
      <c r="B526" s="9">
        <f>Parameters!$B$19</f>
        <v>1E-4</v>
      </c>
      <c r="C526" s="9">
        <f>Parameters!$C$19</f>
        <v>1</v>
      </c>
      <c r="D526" s="9">
        <f>Parameters!$D$19</f>
        <v>1E-4</v>
      </c>
      <c r="E526" s="9">
        <f>Parameters!$E$19</f>
        <v>1</v>
      </c>
      <c r="H526" s="9" t="s">
        <v>3098</v>
      </c>
      <c r="I526" s="9">
        <v>0</v>
      </c>
      <c r="J526" s="9">
        <v>10</v>
      </c>
      <c r="L526" s="22" t="s">
        <v>6343</v>
      </c>
      <c r="M526" s="24" t="s">
        <v>5487</v>
      </c>
      <c r="N526" s="24"/>
      <c r="P526" s="25"/>
    </row>
    <row r="527" spans="1:16" x14ac:dyDescent="0.25">
      <c r="A527" t="s">
        <v>3099</v>
      </c>
      <c r="D527" s="9">
        <f>Parameters!$D$19</f>
        <v>1E-4</v>
      </c>
      <c r="E527" s="9">
        <f>Parameters!$E$19</f>
        <v>1</v>
      </c>
      <c r="H527" s="9" t="s">
        <v>3100</v>
      </c>
      <c r="I527" s="9">
        <v>0</v>
      </c>
      <c r="J527" s="9">
        <v>20</v>
      </c>
      <c r="L527" s="22" t="s">
        <v>5934</v>
      </c>
      <c r="M527" s="23" t="s">
        <v>5935</v>
      </c>
    </row>
    <row r="528" spans="1:16" x14ac:dyDescent="0.25">
      <c r="A528" t="s">
        <v>3101</v>
      </c>
      <c r="D528" s="9">
        <f>Parameters!$D$19</f>
        <v>1E-4</v>
      </c>
      <c r="E528" s="9">
        <f>Parameters!$E$19</f>
        <v>1</v>
      </c>
      <c r="H528" s="9" t="s">
        <v>3102</v>
      </c>
      <c r="I528" s="9">
        <v>0</v>
      </c>
      <c r="J528" s="9">
        <v>12</v>
      </c>
      <c r="L528" s="22" t="s">
        <v>6344</v>
      </c>
      <c r="M528" s="24" t="s">
        <v>6219</v>
      </c>
      <c r="N528" s="24"/>
      <c r="P528" s="25"/>
    </row>
    <row r="529" spans="1:16" x14ac:dyDescent="0.25">
      <c r="A529" t="s">
        <v>3103</v>
      </c>
      <c r="D529" s="9">
        <f>Parameters!$D$19</f>
        <v>1E-4</v>
      </c>
      <c r="E529" s="9">
        <f>Parameters!$E$19</f>
        <v>1</v>
      </c>
      <c r="H529" s="9" t="s">
        <v>3104</v>
      </c>
      <c r="I529" s="9">
        <v>-2</v>
      </c>
      <c r="J529" s="9">
        <v>11</v>
      </c>
      <c r="L529" s="22" t="s">
        <v>6345</v>
      </c>
      <c r="M529" s="24" t="s">
        <v>5639</v>
      </c>
      <c r="N529" s="24"/>
      <c r="P529" s="25"/>
    </row>
    <row r="530" spans="1:16" x14ac:dyDescent="0.25">
      <c r="A530" t="s">
        <v>3105</v>
      </c>
      <c r="B530" s="9">
        <f>Parameters!$B$19</f>
        <v>1E-4</v>
      </c>
      <c r="C530" s="9">
        <f>Parameters!$C$19</f>
        <v>1</v>
      </c>
      <c r="D530" s="9">
        <f>Parameters!$D$19</f>
        <v>1E-4</v>
      </c>
      <c r="E530" s="9">
        <f>Parameters!$E$19</f>
        <v>1</v>
      </c>
      <c r="H530" s="9" t="s">
        <v>3106</v>
      </c>
      <c r="I530" s="9">
        <v>0</v>
      </c>
      <c r="J530" s="9">
        <v>12</v>
      </c>
      <c r="L530" s="22" t="s">
        <v>6346</v>
      </c>
      <c r="M530" s="24" t="s">
        <v>6219</v>
      </c>
      <c r="N530" s="24"/>
      <c r="P530" s="25"/>
    </row>
    <row r="531" spans="1:16" x14ac:dyDescent="0.25">
      <c r="A531" t="s">
        <v>3107</v>
      </c>
      <c r="D531" s="9">
        <f>Parameters!$D$19</f>
        <v>1E-4</v>
      </c>
      <c r="E531" s="9">
        <f>Parameters!$E$19</f>
        <v>1</v>
      </c>
      <c r="H531" s="9" t="s">
        <v>3108</v>
      </c>
      <c r="I531" s="9">
        <v>-2</v>
      </c>
      <c r="J531" s="9">
        <v>9</v>
      </c>
      <c r="L531" s="22" t="s">
        <v>5936</v>
      </c>
      <c r="M531" s="23" t="s">
        <v>5485</v>
      </c>
    </row>
    <row r="532" spans="1:16" x14ac:dyDescent="0.25">
      <c r="A532" t="s">
        <v>3109</v>
      </c>
      <c r="D532" s="9">
        <f>Parameters!$D$19</f>
        <v>1E-4</v>
      </c>
      <c r="E532" s="9">
        <f>Parameters!$E$19</f>
        <v>1</v>
      </c>
      <c r="H532" s="9" t="s">
        <v>3110</v>
      </c>
      <c r="I532" s="9">
        <v>-2</v>
      </c>
      <c r="J532" s="9">
        <v>9</v>
      </c>
      <c r="L532" s="22" t="s">
        <v>6347</v>
      </c>
      <c r="M532" s="24" t="s">
        <v>5485</v>
      </c>
      <c r="N532" s="24"/>
      <c r="P532" s="25"/>
    </row>
    <row r="533" spans="1:16" x14ac:dyDescent="0.25">
      <c r="A533" t="s">
        <v>3111</v>
      </c>
      <c r="D533" s="9">
        <f>Parameters!$D$19</f>
        <v>1E-4</v>
      </c>
      <c r="E533" s="9">
        <f>Parameters!$E$19</f>
        <v>1</v>
      </c>
      <c r="H533" s="9" t="s">
        <v>3112</v>
      </c>
      <c r="I533" s="9">
        <v>-2</v>
      </c>
      <c r="J533" s="9">
        <v>13</v>
      </c>
      <c r="L533" s="22" t="s">
        <v>5937</v>
      </c>
      <c r="M533" s="23" t="s">
        <v>5698</v>
      </c>
    </row>
    <row r="534" spans="1:16" x14ac:dyDescent="0.25">
      <c r="A534" t="s">
        <v>3115</v>
      </c>
      <c r="D534" s="9">
        <f>Parameters!$D$19</f>
        <v>1E-4</v>
      </c>
      <c r="E534" s="9">
        <f>Parameters!$E$19</f>
        <v>1</v>
      </c>
      <c r="H534" s="9" t="s">
        <v>3116</v>
      </c>
      <c r="I534" s="9">
        <v>-2</v>
      </c>
      <c r="J534" s="9">
        <v>13</v>
      </c>
      <c r="L534" s="22" t="s">
        <v>6348</v>
      </c>
      <c r="M534" s="24" t="s">
        <v>6236</v>
      </c>
      <c r="N534" s="24"/>
      <c r="P534" s="25"/>
    </row>
    <row r="535" spans="1:16" x14ac:dyDescent="0.25">
      <c r="A535" t="s">
        <v>3113</v>
      </c>
      <c r="B535" s="9">
        <f>Parameters!$B$19</f>
        <v>1E-4</v>
      </c>
      <c r="C535" s="9">
        <f>Parameters!$C$19</f>
        <v>1</v>
      </c>
      <c r="D535" s="9">
        <f>Parameters!$D$19</f>
        <v>1E-4</v>
      </c>
      <c r="E535" s="9">
        <f>Parameters!$E$19</f>
        <v>1</v>
      </c>
      <c r="H535" s="9" t="s">
        <v>3114</v>
      </c>
      <c r="I535" s="9">
        <v>0</v>
      </c>
      <c r="J535" s="9">
        <v>14</v>
      </c>
      <c r="L535" s="22" t="s">
        <v>6349</v>
      </c>
      <c r="M535" s="24" t="s">
        <v>6234</v>
      </c>
      <c r="P535" s="25"/>
    </row>
    <row r="536" spans="1:16" x14ac:dyDescent="0.25">
      <c r="A536" t="s">
        <v>3117</v>
      </c>
      <c r="D536" s="9">
        <f>Parameters!$D$19</f>
        <v>1E-4</v>
      </c>
      <c r="E536" s="9">
        <f>Parameters!$E$19</f>
        <v>1</v>
      </c>
      <c r="H536" s="9" t="s">
        <v>3118</v>
      </c>
      <c r="I536" s="26">
        <v>-5</v>
      </c>
      <c r="J536" s="9">
        <v>39</v>
      </c>
      <c r="L536" s="22" t="s">
        <v>6350</v>
      </c>
      <c r="M536" s="24" t="s">
        <v>6351</v>
      </c>
      <c r="N536" s="24"/>
      <c r="P536" s="25"/>
    </row>
    <row r="537" spans="1:16" x14ac:dyDescent="0.25">
      <c r="A537" t="s">
        <v>3119</v>
      </c>
      <c r="D537" s="9">
        <f>Parameters!$D$19</f>
        <v>1E-4</v>
      </c>
      <c r="E537" s="9">
        <f>Parameters!$E$19</f>
        <v>1</v>
      </c>
      <c r="H537" s="9" t="s">
        <v>3120</v>
      </c>
      <c r="I537" s="26">
        <v>-7</v>
      </c>
      <c r="J537" s="9">
        <v>39</v>
      </c>
      <c r="L537" s="22" t="s">
        <v>6352</v>
      </c>
      <c r="M537" s="24" t="s">
        <v>6353</v>
      </c>
      <c r="N537" s="24"/>
      <c r="P537" s="25"/>
    </row>
    <row r="538" spans="1:16" x14ac:dyDescent="0.25">
      <c r="A538" t="s">
        <v>3121</v>
      </c>
      <c r="D538" s="9">
        <f>Parameters!$D$19</f>
        <v>1E-4</v>
      </c>
      <c r="E538" s="9">
        <f>Parameters!$E$19</f>
        <v>1</v>
      </c>
      <c r="H538" s="9" t="s">
        <v>3122</v>
      </c>
      <c r="I538" s="9">
        <v>-1</v>
      </c>
      <c r="J538" s="9">
        <v>1</v>
      </c>
      <c r="L538" s="22" t="s">
        <v>6354</v>
      </c>
      <c r="M538" s="24" t="s">
        <v>6355</v>
      </c>
      <c r="N538" s="24"/>
      <c r="P538" s="25"/>
    </row>
    <row r="539" spans="1:16" x14ac:dyDescent="0.25">
      <c r="A539" t="s">
        <v>3123</v>
      </c>
      <c r="D539" s="9">
        <f>Parameters!$D$19</f>
        <v>1E-4</v>
      </c>
      <c r="E539" s="9">
        <f>Parameters!$E$19</f>
        <v>1</v>
      </c>
      <c r="H539" s="9" t="s">
        <v>3124</v>
      </c>
      <c r="I539" s="9">
        <v>-1</v>
      </c>
      <c r="J539" s="9">
        <v>2</v>
      </c>
      <c r="L539" s="22" t="s">
        <v>6356</v>
      </c>
      <c r="M539" s="24" t="s">
        <v>6357</v>
      </c>
      <c r="N539" s="24"/>
      <c r="P539" s="25"/>
    </row>
    <row r="540" spans="1:16" x14ac:dyDescent="0.25">
      <c r="A540" t="s">
        <v>3129</v>
      </c>
      <c r="D540" s="9">
        <f>Parameters!$D$19</f>
        <v>1E-4</v>
      </c>
      <c r="E540" s="9">
        <f>Parameters!$E$19</f>
        <v>1</v>
      </c>
      <c r="H540" s="9" t="s">
        <v>3130</v>
      </c>
      <c r="I540" s="9">
        <v>0</v>
      </c>
      <c r="J540" s="9">
        <v>19</v>
      </c>
      <c r="L540" s="22" t="s">
        <v>6358</v>
      </c>
      <c r="M540" s="24" t="s">
        <v>6359</v>
      </c>
      <c r="N540" s="24"/>
      <c r="P540" s="25"/>
    </row>
    <row r="541" spans="1:16" x14ac:dyDescent="0.25">
      <c r="A541" t="s">
        <v>3125</v>
      </c>
      <c r="B541" s="9">
        <f>Parameters!$B$19</f>
        <v>1E-4</v>
      </c>
      <c r="C541" s="9">
        <f>Parameters!$C$19</f>
        <v>1</v>
      </c>
      <c r="D541" s="9">
        <f>Parameters!$D$19</f>
        <v>1E-4</v>
      </c>
      <c r="E541" s="9">
        <f>Parameters!$E$19</f>
        <v>1</v>
      </c>
      <c r="H541" s="9" t="s">
        <v>3126</v>
      </c>
      <c r="I541" s="9">
        <v>0</v>
      </c>
      <c r="J541" s="9">
        <v>7</v>
      </c>
      <c r="L541" s="22" t="s">
        <v>6360</v>
      </c>
      <c r="M541" s="24" t="s">
        <v>5939</v>
      </c>
      <c r="N541" s="24"/>
      <c r="P541" s="25"/>
    </row>
    <row r="542" spans="1:16" x14ac:dyDescent="0.25">
      <c r="A542" t="s">
        <v>3127</v>
      </c>
      <c r="B542" s="9">
        <f>Parameters!$B$19</f>
        <v>1E-4</v>
      </c>
      <c r="C542" s="9">
        <f>Parameters!$C$19</f>
        <v>1</v>
      </c>
      <c r="D542" s="9">
        <f>Parameters!$D$19</f>
        <v>1E-4</v>
      </c>
      <c r="E542" s="9">
        <f>Parameters!$E$19</f>
        <v>1</v>
      </c>
      <c r="H542" s="9" t="s">
        <v>3128</v>
      </c>
      <c r="I542" s="9">
        <v>0</v>
      </c>
      <c r="J542" s="9">
        <v>7</v>
      </c>
      <c r="L542" s="22" t="s">
        <v>5938</v>
      </c>
      <c r="M542" s="23" t="s">
        <v>5939</v>
      </c>
    </row>
    <row r="543" spans="1:16" x14ac:dyDescent="0.25">
      <c r="A543" t="s">
        <v>3131</v>
      </c>
      <c r="D543" s="9">
        <f>Parameters!$D$19</f>
        <v>1E-4</v>
      </c>
      <c r="E543" s="9">
        <f>Parameters!$E$19</f>
        <v>1</v>
      </c>
      <c r="H543" s="9" t="s">
        <v>3132</v>
      </c>
      <c r="I543" s="9">
        <v>-8</v>
      </c>
      <c r="J543" s="9">
        <v>36</v>
      </c>
      <c r="L543" s="22" t="s">
        <v>6361</v>
      </c>
      <c r="M543" s="24" t="s">
        <v>6362</v>
      </c>
      <c r="N543" s="24"/>
      <c r="P543" s="25"/>
    </row>
    <row r="544" spans="1:16" x14ac:dyDescent="0.25">
      <c r="A544" t="s">
        <v>3133</v>
      </c>
      <c r="D544" s="9">
        <f>Parameters!$D$19</f>
        <v>1E-4</v>
      </c>
      <c r="E544" s="9">
        <f>Parameters!$E$19</f>
        <v>1</v>
      </c>
      <c r="H544" s="9" t="s">
        <v>3134</v>
      </c>
      <c r="I544" s="9">
        <v>-1</v>
      </c>
      <c r="J544" s="9">
        <v>9</v>
      </c>
      <c r="L544" s="22" t="s">
        <v>5940</v>
      </c>
      <c r="M544" s="23" t="s">
        <v>5941</v>
      </c>
    </row>
    <row r="545" spans="1:16" x14ac:dyDescent="0.25">
      <c r="A545" t="s">
        <v>3135</v>
      </c>
      <c r="D545" s="9">
        <f>Parameters!$D$19</f>
        <v>1E-4</v>
      </c>
      <c r="E545" s="9">
        <f>Parameters!$E$19</f>
        <v>1</v>
      </c>
      <c r="H545" s="9" t="s">
        <v>3136</v>
      </c>
      <c r="I545" s="9">
        <v>-3</v>
      </c>
      <c r="J545" s="9">
        <v>8</v>
      </c>
      <c r="L545" s="22" t="s">
        <v>5942</v>
      </c>
      <c r="M545" s="23" t="s">
        <v>5943</v>
      </c>
    </row>
    <row r="546" spans="1:16" x14ac:dyDescent="0.25">
      <c r="A546" t="s">
        <v>3137</v>
      </c>
      <c r="D546" s="9">
        <f>Parameters!$D$19</f>
        <v>1E-4</v>
      </c>
      <c r="E546" s="9">
        <f>Parameters!$E$19</f>
        <v>1</v>
      </c>
      <c r="H546" s="9" t="s">
        <v>3138</v>
      </c>
      <c r="I546" s="9">
        <v>-2</v>
      </c>
      <c r="J546" s="9">
        <v>16</v>
      </c>
      <c r="L546" s="22" t="s">
        <v>5944</v>
      </c>
      <c r="M546" s="23" t="s">
        <v>5945</v>
      </c>
    </row>
    <row r="547" spans="1:16" x14ac:dyDescent="0.25">
      <c r="A547" t="s">
        <v>3139</v>
      </c>
      <c r="D547" s="9">
        <f>Parameters!$D$19</f>
        <v>1E-4</v>
      </c>
      <c r="E547" s="9">
        <f>Parameters!$E$19</f>
        <v>1</v>
      </c>
      <c r="H547" s="9" t="s">
        <v>3140</v>
      </c>
      <c r="I547" s="9">
        <v>-3</v>
      </c>
      <c r="J547" s="9">
        <v>12</v>
      </c>
      <c r="L547" s="22" t="s">
        <v>5946</v>
      </c>
      <c r="M547" s="23" t="s">
        <v>5947</v>
      </c>
    </row>
    <row r="548" spans="1:16" x14ac:dyDescent="0.25">
      <c r="A548" t="s">
        <v>3141</v>
      </c>
      <c r="D548" s="9">
        <f>Parameters!$D$19</f>
        <v>1E-4</v>
      </c>
      <c r="E548" s="9">
        <f>Parameters!$E$19</f>
        <v>1</v>
      </c>
      <c r="H548" s="9" t="s">
        <v>3142</v>
      </c>
      <c r="I548" s="9">
        <v>-2</v>
      </c>
      <c r="J548" s="9">
        <v>0</v>
      </c>
      <c r="L548" s="22" t="s">
        <v>5948</v>
      </c>
      <c r="M548" s="23" t="s">
        <v>5949</v>
      </c>
    </row>
    <row r="549" spans="1:16" x14ac:dyDescent="0.25">
      <c r="A549" t="s">
        <v>3143</v>
      </c>
      <c r="B549" s="9">
        <f>Parameters!$B$19</f>
        <v>1E-4</v>
      </c>
      <c r="C549" s="9">
        <f>Parameters!$C$19</f>
        <v>1</v>
      </c>
      <c r="D549" s="9">
        <f>Parameters!$D$19</f>
        <v>1E-4</v>
      </c>
      <c r="E549" s="9">
        <f>Parameters!$E$19</f>
        <v>1</v>
      </c>
      <c r="H549" s="9" t="s">
        <v>3144</v>
      </c>
      <c r="I549" s="9">
        <v>-2</v>
      </c>
      <c r="J549" s="9">
        <v>0</v>
      </c>
      <c r="L549" s="22" t="s">
        <v>5950</v>
      </c>
      <c r="M549" s="23" t="s">
        <v>5951</v>
      </c>
    </row>
    <row r="550" spans="1:16" x14ac:dyDescent="0.25">
      <c r="A550" t="s">
        <v>3145</v>
      </c>
      <c r="B550" s="9">
        <f>Parameters!$B$19</f>
        <v>1E-4</v>
      </c>
      <c r="C550" s="9">
        <f>Parameters!$C$19</f>
        <v>1</v>
      </c>
      <c r="D550" s="9">
        <f>Parameters!$D$19</f>
        <v>1E-4</v>
      </c>
      <c r="E550" s="9">
        <f>Parameters!$E$19</f>
        <v>1</v>
      </c>
      <c r="H550" s="9" t="s">
        <v>3146</v>
      </c>
      <c r="I550" s="9">
        <v>3</v>
      </c>
      <c r="J550" s="9">
        <v>22</v>
      </c>
      <c r="L550" s="22" t="s">
        <v>5952</v>
      </c>
      <c r="M550" s="23" t="s">
        <v>5953</v>
      </c>
    </row>
    <row r="551" spans="1:16" x14ac:dyDescent="0.25">
      <c r="A551" t="s">
        <v>3147</v>
      </c>
      <c r="D551" s="9">
        <f>Parameters!$D$19</f>
        <v>1E-4</v>
      </c>
      <c r="E551" s="9">
        <f>Parameters!$E$19</f>
        <v>1</v>
      </c>
      <c r="H551" s="9" t="s">
        <v>3148</v>
      </c>
      <c r="I551" s="9">
        <v>-7</v>
      </c>
      <c r="J551" s="9">
        <v>32</v>
      </c>
      <c r="L551" s="22" t="s">
        <v>6363</v>
      </c>
      <c r="M551" s="24" t="s">
        <v>6364</v>
      </c>
      <c r="N551" s="24"/>
      <c r="P551" s="25"/>
    </row>
    <row r="552" spans="1:16" x14ac:dyDescent="0.25">
      <c r="A552" t="s">
        <v>3149</v>
      </c>
      <c r="D552" s="9">
        <f>Parameters!$D$19</f>
        <v>1E-4</v>
      </c>
      <c r="E552" s="9">
        <f>Parameters!$E$19</f>
        <v>1</v>
      </c>
      <c r="H552" s="9" t="s">
        <v>3150</v>
      </c>
      <c r="I552" s="9">
        <v>-3</v>
      </c>
      <c r="J552" s="9">
        <v>18</v>
      </c>
      <c r="L552" s="22" t="s">
        <v>6365</v>
      </c>
      <c r="M552" s="24" t="s">
        <v>6366</v>
      </c>
      <c r="N552" s="24"/>
      <c r="P552" s="25"/>
    </row>
    <row r="553" spans="1:16" x14ac:dyDescent="0.25">
      <c r="A553" t="s">
        <v>3151</v>
      </c>
      <c r="D553" s="9">
        <f>Parameters!$D$19</f>
        <v>1E-4</v>
      </c>
      <c r="E553" s="9">
        <f>Parameters!$E$19</f>
        <v>1</v>
      </c>
      <c r="H553" s="9" t="s">
        <v>3152</v>
      </c>
      <c r="I553" s="9">
        <v>-2</v>
      </c>
      <c r="J553" s="9">
        <v>21</v>
      </c>
      <c r="L553" s="22" t="s">
        <v>6367</v>
      </c>
      <c r="M553" s="24" t="s">
        <v>5987</v>
      </c>
      <c r="N553" s="24"/>
      <c r="P553" s="25"/>
    </row>
    <row r="554" spans="1:16" x14ac:dyDescent="0.25">
      <c r="A554" t="s">
        <v>3153</v>
      </c>
      <c r="D554" s="9">
        <f>Parameters!$D$19</f>
        <v>1E-4</v>
      </c>
      <c r="E554" s="9">
        <f>Parameters!$E$19</f>
        <v>1</v>
      </c>
      <c r="H554" s="9" t="s">
        <v>3154</v>
      </c>
      <c r="I554" s="9">
        <v>-1</v>
      </c>
      <c r="J554" s="9">
        <v>17</v>
      </c>
      <c r="L554" s="22" t="s">
        <v>5954</v>
      </c>
      <c r="M554" s="23" t="s">
        <v>5955</v>
      </c>
    </row>
    <row r="555" spans="1:16" x14ac:dyDescent="0.25">
      <c r="A555" t="s">
        <v>3155</v>
      </c>
      <c r="D555" s="9">
        <f>Parameters!$D$19</f>
        <v>1E-4</v>
      </c>
      <c r="E555" s="9">
        <f>Parameters!$E$19</f>
        <v>1</v>
      </c>
      <c r="H555" s="9" t="s">
        <v>3156</v>
      </c>
      <c r="I555" s="9">
        <v>-2</v>
      </c>
      <c r="J555" s="9">
        <v>8</v>
      </c>
      <c r="L555" s="22" t="s">
        <v>6368</v>
      </c>
      <c r="M555" s="24" t="s">
        <v>6369</v>
      </c>
      <c r="N555" s="24"/>
      <c r="P555" s="25"/>
    </row>
    <row r="556" spans="1:16" x14ac:dyDescent="0.25">
      <c r="A556" t="s">
        <v>3157</v>
      </c>
      <c r="B556" s="9">
        <f>Parameters!$B$19</f>
        <v>1E-4</v>
      </c>
      <c r="C556" s="9">
        <f>Parameters!$C$19</f>
        <v>1</v>
      </c>
      <c r="D556" s="9">
        <f>Parameters!$D$19</f>
        <v>1E-4</v>
      </c>
      <c r="E556" s="9">
        <f>Parameters!$E$19</f>
        <v>1</v>
      </c>
      <c r="H556" s="9" t="s">
        <v>3158</v>
      </c>
      <c r="I556" s="9">
        <v>-2</v>
      </c>
      <c r="J556" s="9">
        <v>4</v>
      </c>
      <c r="L556" s="22" t="s">
        <v>5956</v>
      </c>
      <c r="M556" s="23" t="s">
        <v>5957</v>
      </c>
    </row>
    <row r="557" spans="1:16" x14ac:dyDescent="0.25">
      <c r="A557" t="s">
        <v>3159</v>
      </c>
      <c r="D557" s="9">
        <f>Parameters!$D$19</f>
        <v>1E-4</v>
      </c>
      <c r="E557" s="9">
        <f>Parameters!$E$19</f>
        <v>1</v>
      </c>
      <c r="H557" s="9" t="s">
        <v>3160</v>
      </c>
      <c r="I557" s="9">
        <v>-5</v>
      </c>
      <c r="J557" s="9">
        <v>35</v>
      </c>
      <c r="L557" s="22" t="s">
        <v>5958</v>
      </c>
      <c r="M557" s="23" t="s">
        <v>5806</v>
      </c>
    </row>
    <row r="558" spans="1:16" x14ac:dyDescent="0.25">
      <c r="A558" t="s">
        <v>3161</v>
      </c>
      <c r="D558" s="9">
        <f>Parameters!$D$19</f>
        <v>1E-4</v>
      </c>
      <c r="E558" s="9">
        <f>Parameters!$E$19</f>
        <v>1</v>
      </c>
      <c r="H558" s="9" t="s">
        <v>3162</v>
      </c>
      <c r="I558" s="9">
        <v>-3</v>
      </c>
      <c r="J558" s="9">
        <v>10</v>
      </c>
      <c r="L558" s="22" t="s">
        <v>5959</v>
      </c>
      <c r="M558" s="23" t="s">
        <v>5960</v>
      </c>
    </row>
    <row r="559" spans="1:16" x14ac:dyDescent="0.25">
      <c r="A559" t="s">
        <v>3163</v>
      </c>
      <c r="D559" s="9">
        <f>Parameters!$D$19</f>
        <v>1E-4</v>
      </c>
      <c r="E559" s="9">
        <f>Parameters!$E$19</f>
        <v>1</v>
      </c>
      <c r="H559" s="9" t="s">
        <v>3164</v>
      </c>
      <c r="I559" s="9">
        <v>-2</v>
      </c>
      <c r="J559" s="9">
        <v>11</v>
      </c>
      <c r="L559" s="22" t="s">
        <v>5961</v>
      </c>
      <c r="M559" s="23" t="s">
        <v>5962</v>
      </c>
    </row>
    <row r="560" spans="1:16" x14ac:dyDescent="0.25">
      <c r="A560" t="s">
        <v>3165</v>
      </c>
      <c r="D560" s="9">
        <f>Parameters!$D$19</f>
        <v>1E-4</v>
      </c>
      <c r="E560" s="9">
        <f>Parameters!$E$19</f>
        <v>1</v>
      </c>
      <c r="H560" s="9" t="s">
        <v>3166</v>
      </c>
      <c r="I560" s="9">
        <v>-1</v>
      </c>
      <c r="J560" s="9">
        <v>12</v>
      </c>
      <c r="L560" s="22" t="s">
        <v>5963</v>
      </c>
      <c r="M560" s="23" t="s">
        <v>5964</v>
      </c>
    </row>
    <row r="561" spans="1:16" x14ac:dyDescent="0.25">
      <c r="A561" t="s">
        <v>3167</v>
      </c>
      <c r="D561" s="9">
        <f>Parameters!$D$19</f>
        <v>1E-4</v>
      </c>
      <c r="E561" s="9">
        <f>Parameters!$E$19</f>
        <v>1</v>
      </c>
      <c r="H561" s="9" t="s">
        <v>3168</v>
      </c>
      <c r="I561" s="9">
        <v>-1</v>
      </c>
      <c r="J561" s="9">
        <v>15</v>
      </c>
      <c r="L561" s="22" t="s">
        <v>5965</v>
      </c>
      <c r="M561" s="23" t="s">
        <v>5966</v>
      </c>
    </row>
    <row r="562" spans="1:16" x14ac:dyDescent="0.25">
      <c r="A562" t="s">
        <v>3169</v>
      </c>
      <c r="B562" s="9">
        <f>Parameters!$B$19</f>
        <v>1E-4</v>
      </c>
      <c r="C562" s="9">
        <f>Parameters!$C$19</f>
        <v>1</v>
      </c>
      <c r="D562" s="9">
        <f>Parameters!$D$19</f>
        <v>1E-4</v>
      </c>
      <c r="E562" s="9">
        <f>Parameters!$E$19</f>
        <v>1</v>
      </c>
      <c r="H562" s="9" t="s">
        <v>3170</v>
      </c>
      <c r="I562" s="9">
        <v>0</v>
      </c>
      <c r="J562" s="9">
        <v>22</v>
      </c>
      <c r="L562" s="22" t="s">
        <v>6370</v>
      </c>
      <c r="M562" s="24" t="s">
        <v>5785</v>
      </c>
      <c r="N562" s="24"/>
      <c r="P562" s="25"/>
    </row>
    <row r="563" spans="1:16" x14ac:dyDescent="0.25">
      <c r="A563" t="s">
        <v>3171</v>
      </c>
      <c r="D563" s="9">
        <f>Parameters!$D$19</f>
        <v>1E-4</v>
      </c>
      <c r="E563" s="9">
        <f>Parameters!$E$19</f>
        <v>1</v>
      </c>
      <c r="H563" s="9" t="s">
        <v>3172</v>
      </c>
      <c r="I563" s="9">
        <v>-1</v>
      </c>
      <c r="J563" s="9">
        <v>5</v>
      </c>
      <c r="L563" s="22" t="s">
        <v>5967</v>
      </c>
      <c r="M563" s="23" t="s">
        <v>5340</v>
      </c>
    </row>
    <row r="564" spans="1:16" x14ac:dyDescent="0.25">
      <c r="A564" t="s">
        <v>3173</v>
      </c>
      <c r="D564" s="9">
        <f>Parameters!$D$19</f>
        <v>1E-4</v>
      </c>
      <c r="E564" s="9">
        <f>Parameters!$E$19</f>
        <v>1</v>
      </c>
      <c r="H564" s="9" t="s">
        <v>3174</v>
      </c>
      <c r="I564" s="9">
        <v>-2</v>
      </c>
      <c r="J564" s="9">
        <v>11</v>
      </c>
      <c r="L564" s="22" t="s">
        <v>6371</v>
      </c>
      <c r="M564" s="24" t="s">
        <v>5620</v>
      </c>
      <c r="N564" s="24"/>
      <c r="P564" s="25"/>
    </row>
    <row r="565" spans="1:16" x14ac:dyDescent="0.25">
      <c r="A565" t="s">
        <v>3175</v>
      </c>
      <c r="D565" s="9">
        <f>Parameters!$D$19</f>
        <v>1E-4</v>
      </c>
      <c r="E565" s="9">
        <f>Parameters!$E$19</f>
        <v>1</v>
      </c>
      <c r="H565" s="9" t="s">
        <v>3176</v>
      </c>
      <c r="I565" s="9">
        <v>-4</v>
      </c>
      <c r="J565" s="9">
        <v>10</v>
      </c>
      <c r="L565" s="22" t="s">
        <v>6372</v>
      </c>
      <c r="M565" s="24" t="s">
        <v>5627</v>
      </c>
      <c r="N565" s="24"/>
      <c r="P565" s="25"/>
    </row>
    <row r="566" spans="1:16" x14ac:dyDescent="0.25">
      <c r="A566" t="s">
        <v>3177</v>
      </c>
      <c r="D566" s="9">
        <f>Parameters!$D$19</f>
        <v>1E-4</v>
      </c>
      <c r="E566" s="9">
        <f>Parameters!$E$19</f>
        <v>1</v>
      </c>
      <c r="H566" s="9" t="s">
        <v>3178</v>
      </c>
      <c r="I566" s="9">
        <v>-1</v>
      </c>
      <c r="J566" s="9">
        <v>9</v>
      </c>
      <c r="L566" s="22" t="s">
        <v>6373</v>
      </c>
      <c r="M566" s="24" t="s">
        <v>5319</v>
      </c>
      <c r="N566" s="24"/>
      <c r="P566" s="25"/>
    </row>
    <row r="567" spans="1:16" x14ac:dyDescent="0.25">
      <c r="A567" t="s">
        <v>3179</v>
      </c>
      <c r="B567" s="9">
        <f>Parameters!$B$19</f>
        <v>1E-4</v>
      </c>
      <c r="C567" s="9">
        <f>Parameters!$C$19</f>
        <v>1</v>
      </c>
      <c r="D567" s="9">
        <f>Parameters!$D$19</f>
        <v>1E-4</v>
      </c>
      <c r="E567" s="9">
        <f>Parameters!$E$19</f>
        <v>1</v>
      </c>
      <c r="H567" s="9" t="s">
        <v>3180</v>
      </c>
      <c r="I567" s="9">
        <v>-2</v>
      </c>
      <c r="J567" s="9">
        <v>4</v>
      </c>
      <c r="L567" s="22" t="s">
        <v>6374</v>
      </c>
      <c r="M567" s="24" t="s">
        <v>6375</v>
      </c>
      <c r="N567" s="24"/>
      <c r="P567" s="25"/>
    </row>
    <row r="568" spans="1:16" x14ac:dyDescent="0.25">
      <c r="A568" t="s">
        <v>3181</v>
      </c>
      <c r="B568" s="9">
        <f>Parameters!$B$19</f>
        <v>1E-4</v>
      </c>
      <c r="C568" s="9">
        <f>Parameters!$C$19</f>
        <v>1</v>
      </c>
      <c r="D568" s="9">
        <f>Parameters!$D$19</f>
        <v>1E-4</v>
      </c>
      <c r="E568" s="9">
        <f>Parameters!$E$19</f>
        <v>1</v>
      </c>
      <c r="H568" s="9" t="s">
        <v>3182</v>
      </c>
      <c r="I568" s="9">
        <v>0</v>
      </c>
      <c r="J568" s="9">
        <v>7</v>
      </c>
      <c r="L568" s="22" t="s">
        <v>6376</v>
      </c>
      <c r="M568" s="24" t="s">
        <v>6377</v>
      </c>
      <c r="N568" s="24"/>
      <c r="P568" s="25"/>
    </row>
    <row r="569" spans="1:16" x14ac:dyDescent="0.25">
      <c r="A569" t="s">
        <v>3183</v>
      </c>
      <c r="D569" s="9">
        <f>Parameters!$D$19</f>
        <v>1E-4</v>
      </c>
      <c r="E569" s="9">
        <f>Parameters!$E$19</f>
        <v>1</v>
      </c>
      <c r="H569" s="9" t="s">
        <v>3184</v>
      </c>
      <c r="I569" s="9">
        <v>-1</v>
      </c>
      <c r="J569" s="9">
        <v>0</v>
      </c>
      <c r="L569" s="22" t="s">
        <v>6378</v>
      </c>
      <c r="M569" s="24" t="s">
        <v>6379</v>
      </c>
      <c r="N569" s="24"/>
      <c r="P569" s="25"/>
    </row>
    <row r="570" spans="1:16" x14ac:dyDescent="0.25">
      <c r="A570" t="s">
        <v>3185</v>
      </c>
      <c r="D570" s="9">
        <f>Parameters!$D$19</f>
        <v>1E-4</v>
      </c>
      <c r="E570" s="9">
        <f>Parameters!$E$19</f>
        <v>1</v>
      </c>
      <c r="H570" s="9" t="s">
        <v>3186</v>
      </c>
      <c r="I570" s="9">
        <v>-1</v>
      </c>
      <c r="J570" s="9">
        <v>45</v>
      </c>
      <c r="L570" s="22" t="s">
        <v>5968</v>
      </c>
      <c r="M570" s="23" t="s">
        <v>5969</v>
      </c>
    </row>
    <row r="571" spans="1:16" x14ac:dyDescent="0.25">
      <c r="A571" t="s">
        <v>3187</v>
      </c>
      <c r="D571" s="9">
        <f>Parameters!$D$19</f>
        <v>1E-4</v>
      </c>
      <c r="E571" s="9">
        <f>Parameters!$E$19</f>
        <v>1</v>
      </c>
      <c r="H571" s="9" t="s">
        <v>3188</v>
      </c>
      <c r="I571" s="9">
        <v>-2</v>
      </c>
      <c r="J571" s="9">
        <v>7</v>
      </c>
      <c r="L571" s="22" t="s">
        <v>5970</v>
      </c>
      <c r="M571" s="23" t="s">
        <v>5971</v>
      </c>
    </row>
    <row r="572" spans="1:16" x14ac:dyDescent="0.25">
      <c r="A572" t="s">
        <v>3189</v>
      </c>
      <c r="D572" s="9">
        <f>Parameters!$D$19</f>
        <v>1E-4</v>
      </c>
      <c r="E572" s="9">
        <f>Parameters!$E$19</f>
        <v>1</v>
      </c>
      <c r="H572" s="9" t="s">
        <v>3190</v>
      </c>
      <c r="I572" s="9">
        <v>-2</v>
      </c>
      <c r="J572" s="9">
        <v>21</v>
      </c>
      <c r="L572" s="22" t="s">
        <v>5972</v>
      </c>
      <c r="M572" s="23" t="s">
        <v>5973</v>
      </c>
    </row>
    <row r="573" spans="1:16" x14ac:dyDescent="0.25">
      <c r="A573" t="s">
        <v>3191</v>
      </c>
      <c r="B573" s="9">
        <f>Parameters!$B$19</f>
        <v>1E-4</v>
      </c>
      <c r="C573" s="9">
        <f>Parameters!$C$19</f>
        <v>1</v>
      </c>
      <c r="D573" s="9">
        <f>Parameters!$D$19</f>
        <v>1E-4</v>
      </c>
      <c r="E573" s="9">
        <f>Parameters!$E$19</f>
        <v>1</v>
      </c>
      <c r="H573" s="9" t="s">
        <v>3192</v>
      </c>
      <c r="I573" s="9">
        <v>1</v>
      </c>
      <c r="J573" s="9">
        <v>17</v>
      </c>
      <c r="L573" s="22" t="s">
        <v>6380</v>
      </c>
      <c r="M573" s="24" t="s">
        <v>6381</v>
      </c>
      <c r="N573" s="24"/>
      <c r="P573" s="25"/>
    </row>
    <row r="574" spans="1:16" x14ac:dyDescent="0.25">
      <c r="A574" t="s">
        <v>3193</v>
      </c>
      <c r="D574" s="9">
        <f>Parameters!$D$19</f>
        <v>1E-4</v>
      </c>
      <c r="E574" s="9">
        <f>Parameters!$E$19</f>
        <v>1</v>
      </c>
      <c r="H574" s="9" t="s">
        <v>3194</v>
      </c>
      <c r="I574" s="9">
        <v>-1</v>
      </c>
      <c r="J574" s="9">
        <v>16</v>
      </c>
      <c r="L574" s="22" t="s">
        <v>6382</v>
      </c>
      <c r="M574" s="24" t="s">
        <v>6383</v>
      </c>
      <c r="N574" s="24"/>
      <c r="P574" s="25"/>
    </row>
    <row r="575" spans="1:16" x14ac:dyDescent="0.25">
      <c r="A575" t="s">
        <v>3195</v>
      </c>
      <c r="D575" s="9">
        <f>Parameters!$D$19</f>
        <v>1E-4</v>
      </c>
      <c r="E575" s="9">
        <f>Parameters!$E$19</f>
        <v>1</v>
      </c>
      <c r="H575" s="9" t="s">
        <v>3196</v>
      </c>
      <c r="I575" s="9">
        <v>-2</v>
      </c>
      <c r="J575" s="9">
        <v>16</v>
      </c>
      <c r="L575" s="22" t="s">
        <v>6384</v>
      </c>
      <c r="M575" s="24" t="s">
        <v>6385</v>
      </c>
      <c r="N575" s="24"/>
      <c r="P575" s="25"/>
    </row>
    <row r="576" spans="1:16" x14ac:dyDescent="0.25">
      <c r="A576" t="s">
        <v>3197</v>
      </c>
      <c r="B576" s="9">
        <f>Parameters!$B$19</f>
        <v>1E-4</v>
      </c>
      <c r="C576" s="9">
        <f>Parameters!$C$19</f>
        <v>1</v>
      </c>
      <c r="D576" s="9">
        <f>Parameters!$D$19</f>
        <v>1E-4</v>
      </c>
      <c r="E576" s="9">
        <f>Parameters!$E$19</f>
        <v>1</v>
      </c>
      <c r="H576" s="9" t="s">
        <v>3198</v>
      </c>
      <c r="I576" s="9">
        <v>0</v>
      </c>
      <c r="J576" s="9">
        <v>9</v>
      </c>
      <c r="L576" s="22" t="s">
        <v>5974</v>
      </c>
      <c r="M576" s="23" t="s">
        <v>5737</v>
      </c>
    </row>
    <row r="577" spans="1:16" x14ac:dyDescent="0.25">
      <c r="A577" t="s">
        <v>3199</v>
      </c>
      <c r="D577" s="9">
        <f>Parameters!$D$19</f>
        <v>1E-4</v>
      </c>
      <c r="E577" s="9">
        <f>Parameters!$E$19</f>
        <v>1</v>
      </c>
      <c r="H577" s="9" t="s">
        <v>3200</v>
      </c>
      <c r="I577" s="9">
        <v>0</v>
      </c>
      <c r="J577" s="9">
        <v>6</v>
      </c>
      <c r="L577" s="22" t="s">
        <v>6386</v>
      </c>
      <c r="M577" s="24" t="s">
        <v>6387</v>
      </c>
      <c r="N577" s="24"/>
      <c r="P577" s="25"/>
    </row>
    <row r="578" spans="1:16" x14ac:dyDescent="0.25">
      <c r="A578" t="s">
        <v>3201</v>
      </c>
      <c r="B578" s="9">
        <f>Parameters!$B$19</f>
        <v>1E-4</v>
      </c>
      <c r="C578" s="9">
        <f>Parameters!$C$19</f>
        <v>1</v>
      </c>
      <c r="D578" s="9">
        <f>Parameters!$D$19</f>
        <v>1E-4</v>
      </c>
      <c r="E578" s="9">
        <f>Parameters!$E$19</f>
        <v>1</v>
      </c>
      <c r="H578" s="9" t="s">
        <v>3202</v>
      </c>
      <c r="I578" s="9">
        <v>0</v>
      </c>
      <c r="J578" s="9">
        <v>14</v>
      </c>
      <c r="L578" s="22" t="s">
        <v>5975</v>
      </c>
      <c r="M578" s="23" t="s">
        <v>5976</v>
      </c>
    </row>
    <row r="579" spans="1:16" x14ac:dyDescent="0.25">
      <c r="A579" t="s">
        <v>3203</v>
      </c>
      <c r="B579" s="9">
        <f>Parameters!$B$19</f>
        <v>1E-4</v>
      </c>
      <c r="C579" s="9">
        <f>Parameters!$C$19</f>
        <v>1</v>
      </c>
      <c r="D579" s="9">
        <f>Parameters!$D$19</f>
        <v>1E-4</v>
      </c>
      <c r="E579" s="9">
        <f>Parameters!$E$19</f>
        <v>1</v>
      </c>
      <c r="H579" s="9" t="s">
        <v>3204</v>
      </c>
      <c r="I579" s="9">
        <v>1</v>
      </c>
      <c r="J579" s="9">
        <v>10</v>
      </c>
      <c r="L579" s="22" t="s">
        <v>5977</v>
      </c>
      <c r="M579" s="23" t="s">
        <v>5978</v>
      </c>
    </row>
    <row r="580" spans="1:16" x14ac:dyDescent="0.25">
      <c r="A580" t="s">
        <v>3205</v>
      </c>
      <c r="B580" s="9">
        <f>Parameters!$B$19</f>
        <v>1E-4</v>
      </c>
      <c r="C580" s="9">
        <f>Parameters!$C$19</f>
        <v>1</v>
      </c>
      <c r="D580" s="9">
        <f>Parameters!$D$19</f>
        <v>1E-4</v>
      </c>
      <c r="E580" s="9">
        <f>Parameters!$E$19</f>
        <v>1</v>
      </c>
      <c r="H580" s="9" t="s">
        <v>3206</v>
      </c>
      <c r="I580" s="9">
        <v>0</v>
      </c>
      <c r="J580" s="9">
        <v>9</v>
      </c>
      <c r="L580" s="22" t="s">
        <v>5979</v>
      </c>
      <c r="M580" s="23" t="s">
        <v>5980</v>
      </c>
    </row>
    <row r="581" spans="1:16" x14ac:dyDescent="0.25">
      <c r="A581" t="s">
        <v>3207</v>
      </c>
      <c r="D581" s="9">
        <f>Parameters!$D$19</f>
        <v>1E-4</v>
      </c>
      <c r="E581" s="9">
        <f>Parameters!$E$19</f>
        <v>1</v>
      </c>
      <c r="H581" s="9" t="s">
        <v>3208</v>
      </c>
      <c r="I581" s="9">
        <v>0</v>
      </c>
      <c r="J581" s="9">
        <v>0</v>
      </c>
      <c r="L581" s="22" t="s">
        <v>5981</v>
      </c>
      <c r="M581" s="23" t="s">
        <v>5982</v>
      </c>
    </row>
    <row r="582" spans="1:16" x14ac:dyDescent="0.25">
      <c r="A582" t="s">
        <v>3209</v>
      </c>
      <c r="D582" s="9">
        <f>Parameters!$D$19</f>
        <v>1E-4</v>
      </c>
      <c r="E582" s="9">
        <f>Parameters!$E$19</f>
        <v>1</v>
      </c>
      <c r="H582" s="9" t="s">
        <v>3210</v>
      </c>
      <c r="I582" s="9">
        <v>0</v>
      </c>
      <c r="J582" s="9">
        <v>2</v>
      </c>
      <c r="L582" s="22" t="s">
        <v>5983</v>
      </c>
      <c r="M582" s="23" t="s">
        <v>5984</v>
      </c>
    </row>
    <row r="583" spans="1:16" x14ac:dyDescent="0.25">
      <c r="A583" t="s">
        <v>3211</v>
      </c>
      <c r="B583" s="9">
        <f>Parameters!$B$19</f>
        <v>1E-4</v>
      </c>
      <c r="C583" s="9">
        <f>Parameters!$C$19</f>
        <v>1</v>
      </c>
      <c r="D583" s="9">
        <f>Parameters!$D$19</f>
        <v>1E-4</v>
      </c>
      <c r="E583" s="9">
        <f>Parameters!$E$19</f>
        <v>1</v>
      </c>
      <c r="H583" s="9" t="s">
        <v>3212</v>
      </c>
      <c r="I583" s="9">
        <v>0</v>
      </c>
      <c r="J583" s="9">
        <v>22</v>
      </c>
      <c r="L583" s="22" t="s">
        <v>5985</v>
      </c>
      <c r="M583" s="23" t="s">
        <v>5785</v>
      </c>
    </row>
    <row r="584" spans="1:16" x14ac:dyDescent="0.25">
      <c r="A584" t="s">
        <v>3213</v>
      </c>
      <c r="D584" s="9">
        <f>Parameters!$D$19</f>
        <v>1E-4</v>
      </c>
      <c r="E584" s="9">
        <f>Parameters!$E$19</f>
        <v>1</v>
      </c>
      <c r="H584" s="9" t="s">
        <v>3214</v>
      </c>
      <c r="I584" s="9">
        <v>-2</v>
      </c>
      <c r="J584" s="9">
        <v>21</v>
      </c>
      <c r="L584" s="22" t="s">
        <v>5986</v>
      </c>
      <c r="M584" s="23" t="s">
        <v>5987</v>
      </c>
    </row>
    <row r="585" spans="1:16" x14ac:dyDescent="0.25">
      <c r="A585" t="s">
        <v>3215</v>
      </c>
      <c r="D585" s="9">
        <f>Parameters!$D$19</f>
        <v>1E-4</v>
      </c>
      <c r="E585" s="9">
        <f>Parameters!$E$19</f>
        <v>1</v>
      </c>
      <c r="H585" s="9" t="s">
        <v>3216</v>
      </c>
      <c r="I585" s="9">
        <v>0</v>
      </c>
      <c r="J585" s="9">
        <v>0</v>
      </c>
      <c r="L585" s="22" t="s">
        <v>6388</v>
      </c>
      <c r="M585" s="24" t="s">
        <v>6389</v>
      </c>
      <c r="N585" s="24"/>
      <c r="P585" s="25"/>
    </row>
    <row r="586" spans="1:16" x14ac:dyDescent="0.25">
      <c r="A586" t="s">
        <v>3217</v>
      </c>
      <c r="B586" s="9">
        <f>Parameters!$B$19</f>
        <v>1E-4</v>
      </c>
      <c r="C586" s="9">
        <f>Parameters!$C$19</f>
        <v>1</v>
      </c>
      <c r="D586" s="9">
        <f>Parameters!$D$19</f>
        <v>1E-4</v>
      </c>
      <c r="E586" s="9">
        <f>Parameters!$E$19</f>
        <v>1</v>
      </c>
      <c r="H586" s="9" t="s">
        <v>3218</v>
      </c>
      <c r="I586" s="9">
        <v>0</v>
      </c>
      <c r="J586" s="9">
        <v>12</v>
      </c>
      <c r="L586" s="22" t="s">
        <v>5988</v>
      </c>
      <c r="M586" s="23" t="s">
        <v>5989</v>
      </c>
    </row>
    <row r="587" spans="1:16" x14ac:dyDescent="0.25">
      <c r="A587" t="s">
        <v>3219</v>
      </c>
      <c r="B587" s="9">
        <f>Parameters!$B$19</f>
        <v>1E-4</v>
      </c>
      <c r="C587" s="9">
        <f>Parameters!$C$19</f>
        <v>1</v>
      </c>
      <c r="D587" s="9">
        <f>Parameters!$D$19</f>
        <v>1E-4</v>
      </c>
      <c r="E587" s="9">
        <f>Parameters!$E$19</f>
        <v>1</v>
      </c>
      <c r="H587" s="9" t="s">
        <v>3220</v>
      </c>
      <c r="I587" s="9">
        <v>-2</v>
      </c>
      <c r="J587" s="9">
        <v>0</v>
      </c>
      <c r="L587" s="22" t="s">
        <v>6390</v>
      </c>
      <c r="M587" s="24" t="s">
        <v>6391</v>
      </c>
      <c r="N587" s="24"/>
      <c r="P587" s="25"/>
    </row>
    <row r="588" spans="1:16" x14ac:dyDescent="0.25">
      <c r="A588" t="s">
        <v>3221</v>
      </c>
      <c r="B588" s="9">
        <f>Parameters!$B$19</f>
        <v>1E-4</v>
      </c>
      <c r="C588" s="9">
        <f>Parameters!$C$19</f>
        <v>1</v>
      </c>
      <c r="D588" s="9">
        <f>Parameters!$D$19</f>
        <v>1E-4</v>
      </c>
      <c r="E588" s="9">
        <f>Parameters!$E$19</f>
        <v>1</v>
      </c>
      <c r="H588" s="9" t="s">
        <v>3222</v>
      </c>
      <c r="I588" s="9">
        <v>-1</v>
      </c>
      <c r="J588" s="9">
        <v>27</v>
      </c>
      <c r="L588" s="22" t="s">
        <v>5990</v>
      </c>
      <c r="M588" s="23" t="s">
        <v>5991</v>
      </c>
    </row>
    <row r="589" spans="1:16" x14ac:dyDescent="0.25">
      <c r="A589" t="s">
        <v>3223</v>
      </c>
      <c r="D589" s="9">
        <f>Parameters!$D$19</f>
        <v>1E-4</v>
      </c>
      <c r="E589" s="9">
        <f>Parameters!$E$19</f>
        <v>1</v>
      </c>
      <c r="H589" s="9" t="s">
        <v>3224</v>
      </c>
      <c r="I589" s="9">
        <v>-1</v>
      </c>
      <c r="J589" s="9">
        <v>25</v>
      </c>
      <c r="L589" s="22" t="s">
        <v>5992</v>
      </c>
      <c r="M589" s="23" t="s">
        <v>5993</v>
      </c>
    </row>
    <row r="590" spans="1:16" x14ac:dyDescent="0.25">
      <c r="A590" t="s">
        <v>3225</v>
      </c>
      <c r="B590" s="9">
        <f>Parameters!$B$19</f>
        <v>1E-4</v>
      </c>
      <c r="C590" s="9">
        <f>Parameters!$C$19</f>
        <v>1</v>
      </c>
      <c r="D590" s="9">
        <f>Parameters!$D$19</f>
        <v>1E-4</v>
      </c>
      <c r="E590" s="9">
        <f>Parameters!$E$19</f>
        <v>1</v>
      </c>
      <c r="H590" s="9" t="s">
        <v>3226</v>
      </c>
      <c r="I590" s="9">
        <v>0</v>
      </c>
      <c r="J590" s="9">
        <v>11</v>
      </c>
      <c r="L590" s="22" t="s">
        <v>5994</v>
      </c>
      <c r="M590" s="23" t="s">
        <v>5995</v>
      </c>
    </row>
    <row r="591" spans="1:16" x14ac:dyDescent="0.25">
      <c r="A591" t="s">
        <v>3227</v>
      </c>
      <c r="D591" s="9">
        <f>Parameters!$D$19</f>
        <v>1E-4</v>
      </c>
      <c r="E591" s="9">
        <f>Parameters!$E$19</f>
        <v>1</v>
      </c>
      <c r="H591" s="9" t="s">
        <v>3228</v>
      </c>
      <c r="I591" s="9">
        <v>-2</v>
      </c>
      <c r="J591" s="9">
        <v>75</v>
      </c>
      <c r="L591" s="22" t="s">
        <v>5996</v>
      </c>
      <c r="M591" s="23" t="s">
        <v>5997</v>
      </c>
    </row>
    <row r="592" spans="1:16" x14ac:dyDescent="0.25">
      <c r="A592" t="s">
        <v>3229</v>
      </c>
      <c r="D592" s="9">
        <f>Parameters!$D$19</f>
        <v>1E-4</v>
      </c>
      <c r="E592" s="9">
        <f>Parameters!$E$19</f>
        <v>1</v>
      </c>
      <c r="H592" s="9" t="s">
        <v>3230</v>
      </c>
      <c r="I592" s="9">
        <v>-2</v>
      </c>
      <c r="J592" s="9">
        <v>51</v>
      </c>
      <c r="L592" s="22" t="s">
        <v>5998</v>
      </c>
      <c r="M592" s="23" t="s">
        <v>5999</v>
      </c>
    </row>
    <row r="593" spans="1:16" x14ac:dyDescent="0.25">
      <c r="A593" t="s">
        <v>3231</v>
      </c>
      <c r="D593" s="9">
        <f>Parameters!$D$19</f>
        <v>1E-4</v>
      </c>
      <c r="E593" s="9">
        <f>Parameters!$E$19</f>
        <v>1</v>
      </c>
      <c r="H593" s="9" t="s">
        <v>3232</v>
      </c>
      <c r="I593" s="9">
        <v>-1</v>
      </c>
      <c r="J593" s="9">
        <v>50</v>
      </c>
      <c r="L593" s="22" t="s">
        <v>6000</v>
      </c>
      <c r="M593" s="23" t="s">
        <v>6001</v>
      </c>
    </row>
    <row r="594" spans="1:16" x14ac:dyDescent="0.25">
      <c r="A594" t="s">
        <v>3233</v>
      </c>
      <c r="D594" s="9">
        <f>Parameters!$D$19</f>
        <v>1E-4</v>
      </c>
      <c r="E594" s="9">
        <f>Parameters!$E$19</f>
        <v>1</v>
      </c>
      <c r="H594" s="9" t="s">
        <v>3234</v>
      </c>
      <c r="I594" s="9">
        <v>-4</v>
      </c>
      <c r="J594" s="9">
        <v>152</v>
      </c>
      <c r="L594" s="22" t="s">
        <v>6002</v>
      </c>
      <c r="M594" s="23" t="s">
        <v>6003</v>
      </c>
    </row>
    <row r="595" spans="1:16" x14ac:dyDescent="0.25">
      <c r="A595" t="s">
        <v>3235</v>
      </c>
      <c r="D595" s="9">
        <f>Parameters!$D$19</f>
        <v>1E-4</v>
      </c>
      <c r="E595" s="9">
        <f>Parameters!$E$19</f>
        <v>1</v>
      </c>
      <c r="H595" s="9" t="s">
        <v>3236</v>
      </c>
      <c r="I595" s="9">
        <v>-3</v>
      </c>
      <c r="J595" s="9">
        <v>26</v>
      </c>
      <c r="L595" s="22" t="s">
        <v>6004</v>
      </c>
      <c r="M595" s="23" t="s">
        <v>6005</v>
      </c>
    </row>
    <row r="596" spans="1:16" x14ac:dyDescent="0.25">
      <c r="A596" t="s">
        <v>3237</v>
      </c>
      <c r="D596" s="9">
        <f>Parameters!$D$19</f>
        <v>1E-4</v>
      </c>
      <c r="E596" s="9">
        <f>Parameters!$E$19</f>
        <v>1</v>
      </c>
      <c r="H596" s="9" t="s">
        <v>3238</v>
      </c>
      <c r="I596" s="9">
        <v>-2</v>
      </c>
      <c r="J596" s="9">
        <v>25</v>
      </c>
      <c r="L596" s="22" t="s">
        <v>6006</v>
      </c>
      <c r="M596" s="23" t="s">
        <v>6007</v>
      </c>
    </row>
    <row r="597" spans="1:16" x14ac:dyDescent="0.25">
      <c r="A597" t="s">
        <v>3239</v>
      </c>
      <c r="D597" s="9">
        <f>Parameters!$D$19</f>
        <v>1E-4</v>
      </c>
      <c r="E597" s="9">
        <f>Parameters!$E$19</f>
        <v>1</v>
      </c>
      <c r="H597" s="9" t="s">
        <v>3240</v>
      </c>
      <c r="I597" s="9">
        <v>-2</v>
      </c>
      <c r="J597" s="9">
        <v>25</v>
      </c>
      <c r="L597" s="22" t="s">
        <v>6392</v>
      </c>
      <c r="M597" s="24" t="s">
        <v>6007</v>
      </c>
      <c r="N597" s="24"/>
      <c r="P597" s="25"/>
    </row>
    <row r="598" spans="1:16" x14ac:dyDescent="0.25">
      <c r="A598" t="s">
        <v>3241</v>
      </c>
      <c r="D598" s="9">
        <f>Parameters!$D$19</f>
        <v>1E-4</v>
      </c>
      <c r="E598" s="9">
        <f>Parameters!$E$19</f>
        <v>1</v>
      </c>
      <c r="H598" s="9" t="s">
        <v>3242</v>
      </c>
      <c r="I598" s="9">
        <v>-3</v>
      </c>
      <c r="J598" s="9">
        <v>22</v>
      </c>
      <c r="L598" s="22" t="s">
        <v>6393</v>
      </c>
      <c r="M598" s="24" t="s">
        <v>6394</v>
      </c>
      <c r="N598" s="24"/>
      <c r="P598" s="25"/>
    </row>
    <row r="599" spans="1:16" x14ac:dyDescent="0.25">
      <c r="A599" t="s">
        <v>3243</v>
      </c>
      <c r="D599" s="9">
        <f>Parameters!$D$19</f>
        <v>1E-4</v>
      </c>
      <c r="E599" s="9">
        <f>Parameters!$E$19</f>
        <v>1</v>
      </c>
      <c r="H599" s="9" t="s">
        <v>3244</v>
      </c>
      <c r="I599" s="9">
        <v>-4</v>
      </c>
      <c r="J599" s="9">
        <v>139</v>
      </c>
      <c r="L599" s="22" t="s">
        <v>6008</v>
      </c>
      <c r="M599" s="23" t="s">
        <v>6009</v>
      </c>
    </row>
    <row r="600" spans="1:16" x14ac:dyDescent="0.25">
      <c r="A600" t="s">
        <v>3245</v>
      </c>
      <c r="D600" s="9">
        <f>Parameters!$D$19</f>
        <v>1E-4</v>
      </c>
      <c r="E600" s="9">
        <f>Parameters!$E$19</f>
        <v>1</v>
      </c>
      <c r="H600" s="9" t="s">
        <v>3246</v>
      </c>
      <c r="I600" s="9">
        <v>-3</v>
      </c>
      <c r="J600" s="9">
        <v>33</v>
      </c>
      <c r="L600" s="22" t="s">
        <v>6010</v>
      </c>
      <c r="M600" s="23" t="s">
        <v>6011</v>
      </c>
    </row>
    <row r="601" spans="1:16" x14ac:dyDescent="0.25">
      <c r="A601" t="s">
        <v>3247</v>
      </c>
      <c r="D601" s="9">
        <f>Parameters!$D$19</f>
        <v>1E-4</v>
      </c>
      <c r="E601" s="9">
        <f>Parameters!$E$19</f>
        <v>1</v>
      </c>
      <c r="H601" s="9" t="s">
        <v>3248</v>
      </c>
      <c r="I601" s="9">
        <v>-4</v>
      </c>
      <c r="J601" s="9">
        <v>39</v>
      </c>
      <c r="L601" s="22" t="s">
        <v>6012</v>
      </c>
      <c r="M601" s="23" t="s">
        <v>6013</v>
      </c>
    </row>
    <row r="602" spans="1:16" x14ac:dyDescent="0.25">
      <c r="A602" t="s">
        <v>3249</v>
      </c>
      <c r="D602" s="9">
        <f>Parameters!$D$19</f>
        <v>1E-4</v>
      </c>
      <c r="E602" s="9">
        <f>Parameters!$E$19</f>
        <v>1</v>
      </c>
      <c r="H602" s="9" t="s">
        <v>3250</v>
      </c>
      <c r="I602" s="9">
        <v>-3</v>
      </c>
      <c r="J602" s="9">
        <v>28</v>
      </c>
      <c r="L602" s="22" t="s">
        <v>6014</v>
      </c>
      <c r="M602" s="23" t="s">
        <v>6015</v>
      </c>
    </row>
    <row r="603" spans="1:16" x14ac:dyDescent="0.25">
      <c r="A603" t="s">
        <v>3251</v>
      </c>
      <c r="D603" s="9">
        <f>Parameters!$D$19</f>
        <v>1E-4</v>
      </c>
      <c r="E603" s="9">
        <f>Parameters!$E$19</f>
        <v>1</v>
      </c>
      <c r="H603" s="9" t="s">
        <v>3252</v>
      </c>
      <c r="I603" s="9">
        <v>-3</v>
      </c>
      <c r="J603" s="9">
        <v>89</v>
      </c>
      <c r="L603" s="22" t="s">
        <v>6016</v>
      </c>
      <c r="M603" s="23" t="s">
        <v>6017</v>
      </c>
    </row>
    <row r="604" spans="1:16" x14ac:dyDescent="0.25">
      <c r="A604" t="s">
        <v>3253</v>
      </c>
      <c r="D604" s="9">
        <f>Parameters!$D$19</f>
        <v>1E-4</v>
      </c>
      <c r="E604" s="9">
        <f>Parameters!$E$19</f>
        <v>1</v>
      </c>
      <c r="H604" s="9" t="s">
        <v>3254</v>
      </c>
      <c r="I604" s="9">
        <v>-2</v>
      </c>
      <c r="J604" s="9">
        <v>89</v>
      </c>
      <c r="L604" s="22" t="s">
        <v>6018</v>
      </c>
      <c r="M604" s="23" t="s">
        <v>6019</v>
      </c>
    </row>
    <row r="605" spans="1:16" x14ac:dyDescent="0.25">
      <c r="A605" t="s">
        <v>3255</v>
      </c>
      <c r="D605" s="9">
        <f>Parameters!$D$19</f>
        <v>1E-4</v>
      </c>
      <c r="E605" s="9">
        <f>Parameters!$E$19</f>
        <v>1</v>
      </c>
      <c r="H605" s="9" t="s">
        <v>3256</v>
      </c>
      <c r="I605" s="9">
        <v>-3</v>
      </c>
      <c r="J605" s="9">
        <v>11</v>
      </c>
      <c r="L605" s="22" t="s">
        <v>6020</v>
      </c>
      <c r="M605" s="23" t="s">
        <v>6021</v>
      </c>
    </row>
    <row r="606" spans="1:16" x14ac:dyDescent="0.25">
      <c r="A606" t="s">
        <v>3257</v>
      </c>
      <c r="D606" s="9">
        <f>Parameters!$D$19</f>
        <v>1E-4</v>
      </c>
      <c r="E606" s="9">
        <f>Parameters!$E$19</f>
        <v>1</v>
      </c>
      <c r="H606" s="9" t="s">
        <v>3258</v>
      </c>
      <c r="I606" s="9">
        <v>-2</v>
      </c>
      <c r="J606" s="9">
        <v>22</v>
      </c>
      <c r="L606" s="22" t="s">
        <v>6022</v>
      </c>
      <c r="M606" s="23" t="s">
        <v>6023</v>
      </c>
    </row>
    <row r="607" spans="1:16" x14ac:dyDescent="0.25">
      <c r="A607" t="s">
        <v>3259</v>
      </c>
      <c r="D607" s="9">
        <f>Parameters!$D$19</f>
        <v>1E-4</v>
      </c>
      <c r="E607" s="9">
        <f>Parameters!$E$19</f>
        <v>1</v>
      </c>
      <c r="H607" s="9" t="s">
        <v>3260</v>
      </c>
      <c r="I607" s="9">
        <v>-2</v>
      </c>
      <c r="J607" s="9">
        <v>22</v>
      </c>
      <c r="L607" s="22" t="s">
        <v>6024</v>
      </c>
      <c r="M607" s="23" t="s">
        <v>6023</v>
      </c>
    </row>
    <row r="608" spans="1:16" x14ac:dyDescent="0.25">
      <c r="A608" t="s">
        <v>3261</v>
      </c>
      <c r="D608" s="9">
        <f>Parameters!$D$19</f>
        <v>1E-4</v>
      </c>
      <c r="E608" s="9">
        <f>Parameters!$E$19</f>
        <v>1</v>
      </c>
      <c r="H608" s="9" t="s">
        <v>3262</v>
      </c>
      <c r="I608" s="9">
        <v>-2</v>
      </c>
      <c r="J608" s="9">
        <v>22</v>
      </c>
      <c r="L608" s="22" t="s">
        <v>6395</v>
      </c>
      <c r="M608" s="24" t="s">
        <v>6023</v>
      </c>
      <c r="N608" s="24"/>
      <c r="P608" s="25"/>
    </row>
    <row r="609" spans="1:16" x14ac:dyDescent="0.25">
      <c r="A609" t="s">
        <v>3263</v>
      </c>
      <c r="D609" s="9">
        <f>Parameters!$D$19</f>
        <v>1E-4</v>
      </c>
      <c r="E609" s="9">
        <f>Parameters!$E$19</f>
        <v>1</v>
      </c>
      <c r="H609" s="9" t="s">
        <v>3264</v>
      </c>
      <c r="I609" s="9">
        <v>-3</v>
      </c>
      <c r="J609" s="9">
        <v>19</v>
      </c>
      <c r="L609" s="22" t="s">
        <v>6396</v>
      </c>
      <c r="M609" s="24" t="s">
        <v>6397</v>
      </c>
      <c r="N609" s="24"/>
      <c r="P609" s="25"/>
    </row>
    <row r="610" spans="1:16" x14ac:dyDescent="0.25">
      <c r="A610" t="s">
        <v>3265</v>
      </c>
      <c r="D610" s="9">
        <f>Parameters!$D$19</f>
        <v>1E-4</v>
      </c>
      <c r="E610" s="9">
        <f>Parameters!$E$19</f>
        <v>1</v>
      </c>
      <c r="H610" s="9" t="s">
        <v>3266</v>
      </c>
      <c r="I610" s="9">
        <v>-4</v>
      </c>
      <c r="J610" s="9">
        <v>51</v>
      </c>
      <c r="L610" s="22" t="s">
        <v>6025</v>
      </c>
      <c r="M610" s="23" t="s">
        <v>6026</v>
      </c>
    </row>
    <row r="611" spans="1:16" x14ac:dyDescent="0.25">
      <c r="A611" t="s">
        <v>3267</v>
      </c>
      <c r="D611" s="9">
        <f>Parameters!$D$19</f>
        <v>1E-4</v>
      </c>
      <c r="E611" s="9">
        <f>Parameters!$E$19</f>
        <v>1</v>
      </c>
      <c r="H611" s="9" t="s">
        <v>3268</v>
      </c>
      <c r="I611" s="9">
        <v>-4</v>
      </c>
      <c r="J611" s="9">
        <v>61</v>
      </c>
      <c r="L611" s="22" t="s">
        <v>6027</v>
      </c>
      <c r="M611" s="23" t="s">
        <v>6028</v>
      </c>
    </row>
    <row r="612" spans="1:16" x14ac:dyDescent="0.25">
      <c r="A612" t="s">
        <v>3269</v>
      </c>
      <c r="D612" s="9">
        <f>Parameters!$D$19</f>
        <v>1E-4</v>
      </c>
      <c r="E612" s="9">
        <f>Parameters!$E$19</f>
        <v>1</v>
      </c>
      <c r="H612" s="9" t="s">
        <v>3270</v>
      </c>
      <c r="I612" s="9">
        <v>-2</v>
      </c>
      <c r="J612" s="9">
        <v>11</v>
      </c>
      <c r="L612" s="22" t="s">
        <v>6029</v>
      </c>
      <c r="M612" s="23" t="s">
        <v>6030</v>
      </c>
    </row>
    <row r="613" spans="1:16" x14ac:dyDescent="0.25">
      <c r="A613" t="s">
        <v>3271</v>
      </c>
      <c r="D613" s="9">
        <f>Parameters!$D$19</f>
        <v>1E-4</v>
      </c>
      <c r="E613" s="9">
        <f>Parameters!$E$19</f>
        <v>1</v>
      </c>
      <c r="H613" s="9" t="s">
        <v>3272</v>
      </c>
      <c r="I613" s="9">
        <v>-2</v>
      </c>
      <c r="J613" s="9">
        <v>103</v>
      </c>
      <c r="L613" s="22" t="s">
        <v>6398</v>
      </c>
      <c r="M613" s="24" t="s">
        <v>6399</v>
      </c>
      <c r="N613" s="24"/>
      <c r="P613" s="25"/>
    </row>
    <row r="614" spans="1:16" x14ac:dyDescent="0.25">
      <c r="A614" t="s">
        <v>3273</v>
      </c>
      <c r="D614" s="9">
        <f>Parameters!$D$19</f>
        <v>1E-4</v>
      </c>
      <c r="E614" s="9">
        <f>Parameters!$E$19</f>
        <v>1</v>
      </c>
      <c r="H614" s="9" t="s">
        <v>3274</v>
      </c>
      <c r="I614" s="9">
        <v>-3</v>
      </c>
      <c r="J614" s="9">
        <v>113</v>
      </c>
      <c r="L614" s="22" t="s">
        <v>6400</v>
      </c>
      <c r="M614" s="24" t="s">
        <v>6401</v>
      </c>
      <c r="N614" s="24"/>
      <c r="P614" s="25"/>
    </row>
    <row r="615" spans="1:16" x14ac:dyDescent="0.25">
      <c r="A615" t="s">
        <v>3275</v>
      </c>
      <c r="D615" s="9">
        <f>Parameters!$D$19</f>
        <v>1E-4</v>
      </c>
      <c r="E615" s="9">
        <f>Parameters!$E$19</f>
        <v>1</v>
      </c>
      <c r="H615" s="9" t="s">
        <v>3276</v>
      </c>
      <c r="I615" s="9">
        <v>-3</v>
      </c>
      <c r="J615" s="9">
        <v>126</v>
      </c>
      <c r="L615" s="22" t="s">
        <v>6402</v>
      </c>
      <c r="M615" s="24" t="s">
        <v>6403</v>
      </c>
      <c r="N615" s="24"/>
      <c r="P615" s="25"/>
    </row>
    <row r="616" spans="1:16" x14ac:dyDescent="0.25">
      <c r="A616" t="s">
        <v>3277</v>
      </c>
      <c r="D616" s="9">
        <f>Parameters!$D$19</f>
        <v>1E-4</v>
      </c>
      <c r="E616" s="9">
        <f>Parameters!$E$19</f>
        <v>1</v>
      </c>
      <c r="H616" s="9" t="s">
        <v>3278</v>
      </c>
      <c r="I616" s="9">
        <v>-8</v>
      </c>
      <c r="J616" s="9">
        <v>36</v>
      </c>
      <c r="L616" s="22" t="s">
        <v>6404</v>
      </c>
      <c r="M616" s="24" t="s">
        <v>6405</v>
      </c>
      <c r="N616" s="24"/>
      <c r="P616" s="25"/>
    </row>
    <row r="617" spans="1:16" x14ac:dyDescent="0.25">
      <c r="A617" t="s">
        <v>3279</v>
      </c>
      <c r="B617" s="9">
        <f>Parameters!$B$19</f>
        <v>1E-4</v>
      </c>
      <c r="C617" s="9">
        <f>Parameters!$C$19</f>
        <v>1</v>
      </c>
      <c r="D617" s="9">
        <f>Parameters!$D$19</f>
        <v>1E-4</v>
      </c>
      <c r="E617" s="9">
        <f>Parameters!$E$19</f>
        <v>1</v>
      </c>
      <c r="H617" s="9" t="s">
        <v>3280</v>
      </c>
      <c r="I617" s="9">
        <v>0</v>
      </c>
      <c r="J617" s="9">
        <v>4</v>
      </c>
      <c r="L617" s="22" t="s">
        <v>6031</v>
      </c>
      <c r="M617" s="23" t="s">
        <v>6032</v>
      </c>
    </row>
    <row r="618" spans="1:16" x14ac:dyDescent="0.25">
      <c r="A618" t="s">
        <v>3281</v>
      </c>
      <c r="D618" s="9">
        <f>Parameters!$D$19</f>
        <v>1E-4</v>
      </c>
      <c r="E618" s="9">
        <f>Parameters!$E$19</f>
        <v>1</v>
      </c>
      <c r="H618" s="9" t="s">
        <v>3282</v>
      </c>
      <c r="I618" s="9">
        <v>-1</v>
      </c>
      <c r="J618" s="9">
        <v>5</v>
      </c>
      <c r="L618" s="22" t="s">
        <v>6406</v>
      </c>
      <c r="M618" s="24" t="s">
        <v>6407</v>
      </c>
      <c r="N618" s="24"/>
      <c r="P618" s="25"/>
    </row>
    <row r="619" spans="1:16" x14ac:dyDescent="0.25">
      <c r="A619" t="s">
        <v>3283</v>
      </c>
      <c r="B619" s="9">
        <f>Parameters!$B$19</f>
        <v>1E-4</v>
      </c>
      <c r="C619" s="9">
        <f>Parameters!$C$19</f>
        <v>1</v>
      </c>
      <c r="D619" s="9">
        <f>Parameters!$D$19</f>
        <v>1E-4</v>
      </c>
      <c r="E619" s="9">
        <f>Parameters!$E$19</f>
        <v>1</v>
      </c>
      <c r="H619" s="9" t="s">
        <v>3284</v>
      </c>
      <c r="I619" s="9">
        <v>0</v>
      </c>
      <c r="J619" s="9">
        <v>4</v>
      </c>
      <c r="L619" s="22" t="s">
        <v>6408</v>
      </c>
      <c r="M619" s="24" t="s">
        <v>6409</v>
      </c>
      <c r="N619" s="24"/>
      <c r="P619" s="25"/>
    </row>
    <row r="620" spans="1:16" x14ac:dyDescent="0.25">
      <c r="A620" t="s">
        <v>3285</v>
      </c>
      <c r="B620" s="9">
        <f>Parameters!$B$19</f>
        <v>1E-4</v>
      </c>
      <c r="C620" s="9">
        <f>Parameters!$C$19</f>
        <v>1</v>
      </c>
      <c r="D620" s="9">
        <f>Parameters!$D$19</f>
        <v>1E-4</v>
      </c>
      <c r="E620" s="9">
        <f>Parameters!$E$19</f>
        <v>1</v>
      </c>
      <c r="H620" s="9" t="s">
        <v>3286</v>
      </c>
      <c r="I620" s="9">
        <v>0</v>
      </c>
      <c r="J620" s="9">
        <v>12</v>
      </c>
      <c r="L620" s="22" t="s">
        <v>6033</v>
      </c>
      <c r="M620" s="23" t="s">
        <v>6034</v>
      </c>
    </row>
    <row r="621" spans="1:16" x14ac:dyDescent="0.25">
      <c r="A621" t="s">
        <v>3287</v>
      </c>
      <c r="D621" s="9">
        <f>Parameters!$D$19</f>
        <v>1E-4</v>
      </c>
      <c r="E621" s="9">
        <f>Parameters!$E$19</f>
        <v>1</v>
      </c>
      <c r="H621" s="9" t="s">
        <v>3288</v>
      </c>
      <c r="I621" s="9">
        <v>-4</v>
      </c>
      <c r="J621" s="9">
        <v>11</v>
      </c>
      <c r="L621" s="22" t="s">
        <v>6035</v>
      </c>
      <c r="M621" s="23" t="s">
        <v>6036</v>
      </c>
    </row>
    <row r="622" spans="1:16" x14ac:dyDescent="0.25">
      <c r="A622" t="s">
        <v>3289</v>
      </c>
      <c r="B622" s="9">
        <f>Parameters!$B$19</f>
        <v>1E-4</v>
      </c>
      <c r="C622" s="9">
        <f>Parameters!$C$19</f>
        <v>1</v>
      </c>
      <c r="D622" s="9">
        <f>Parameters!$D$19</f>
        <v>1E-4</v>
      </c>
      <c r="E622" s="9">
        <f>Parameters!$E$19</f>
        <v>1</v>
      </c>
      <c r="H622" s="9" t="s">
        <v>3290</v>
      </c>
      <c r="I622" s="9">
        <v>0</v>
      </c>
      <c r="J622" s="9">
        <v>11</v>
      </c>
      <c r="L622" s="22" t="s">
        <v>6037</v>
      </c>
      <c r="M622" s="23" t="s">
        <v>5685</v>
      </c>
    </row>
    <row r="623" spans="1:16" x14ac:dyDescent="0.25">
      <c r="A623" t="s">
        <v>3291</v>
      </c>
      <c r="B623" s="9">
        <f>Parameters!$B$19</f>
        <v>1E-4</v>
      </c>
      <c r="C623" s="9">
        <f>Parameters!$C$19</f>
        <v>1</v>
      </c>
      <c r="D623" s="9">
        <f>Parameters!$D$19</f>
        <v>1E-4</v>
      </c>
      <c r="E623" s="9">
        <f>Parameters!$E$19</f>
        <v>1</v>
      </c>
      <c r="H623" s="9" t="s">
        <v>3292</v>
      </c>
      <c r="I623" s="9">
        <v>0</v>
      </c>
      <c r="J623" s="9">
        <v>4</v>
      </c>
      <c r="L623" s="22" t="s">
        <v>6038</v>
      </c>
      <c r="M623" s="23" t="s">
        <v>6039</v>
      </c>
    </row>
    <row r="624" spans="1:16" x14ac:dyDescent="0.25">
      <c r="A624" t="s">
        <v>3293</v>
      </c>
      <c r="D624" s="9">
        <f>Parameters!$D$19</f>
        <v>1E-4</v>
      </c>
      <c r="E624" s="9">
        <f>Parameters!$E$19</f>
        <v>1</v>
      </c>
      <c r="H624" s="9" t="s">
        <v>3294</v>
      </c>
      <c r="I624" s="9">
        <v>-2</v>
      </c>
      <c r="J624" s="9">
        <v>11</v>
      </c>
      <c r="L624" s="22" t="s">
        <v>6040</v>
      </c>
      <c r="M624" s="23" t="s">
        <v>6041</v>
      </c>
    </row>
    <row r="625" spans="1:16" x14ac:dyDescent="0.25">
      <c r="A625" t="s">
        <v>3295</v>
      </c>
      <c r="B625" s="9">
        <f>Parameters!$B$19</f>
        <v>1E-4</v>
      </c>
      <c r="C625" s="9">
        <f>Parameters!$C$19</f>
        <v>1</v>
      </c>
      <c r="D625" s="9">
        <f>Parameters!$D$19</f>
        <v>1E-4</v>
      </c>
      <c r="E625" s="9">
        <f>Parameters!$E$19</f>
        <v>1</v>
      </c>
      <c r="H625" s="9" t="s">
        <v>3296</v>
      </c>
      <c r="I625" s="9">
        <v>0</v>
      </c>
      <c r="J625" s="9">
        <v>12</v>
      </c>
      <c r="L625" s="22" t="s">
        <v>6042</v>
      </c>
      <c r="M625" s="23" t="s">
        <v>6043</v>
      </c>
    </row>
    <row r="626" spans="1:16" x14ac:dyDescent="0.25">
      <c r="A626" t="s">
        <v>3297</v>
      </c>
      <c r="D626" s="9">
        <f>Parameters!$D$19</f>
        <v>1E-4</v>
      </c>
      <c r="E626" s="9">
        <f>Parameters!$E$19</f>
        <v>1</v>
      </c>
      <c r="H626" s="9" t="s">
        <v>3298</v>
      </c>
      <c r="I626" s="9">
        <v>-2</v>
      </c>
      <c r="J626" s="9">
        <v>9</v>
      </c>
      <c r="L626" s="22" t="s">
        <v>6044</v>
      </c>
      <c r="M626" s="23" t="s">
        <v>5485</v>
      </c>
    </row>
    <row r="627" spans="1:16" x14ac:dyDescent="0.25">
      <c r="A627" t="s">
        <v>3299</v>
      </c>
      <c r="D627" s="9">
        <f>Parameters!$D$19</f>
        <v>1E-4</v>
      </c>
      <c r="E627" s="9">
        <f>Parameters!$E$19</f>
        <v>1</v>
      </c>
      <c r="H627" s="9" t="s">
        <v>3300</v>
      </c>
      <c r="I627" s="9">
        <v>-2</v>
      </c>
      <c r="J627" s="9">
        <v>9</v>
      </c>
      <c r="L627" s="22" t="s">
        <v>6410</v>
      </c>
      <c r="M627" s="24" t="s">
        <v>5485</v>
      </c>
      <c r="N627" s="24"/>
      <c r="P627" s="25"/>
    </row>
    <row r="628" spans="1:16" x14ac:dyDescent="0.25">
      <c r="A628" t="s">
        <v>3301</v>
      </c>
      <c r="B628" s="9">
        <f>Parameters!$B$19</f>
        <v>1E-4</v>
      </c>
      <c r="C628" s="9">
        <f>Parameters!$C$19</f>
        <v>1</v>
      </c>
      <c r="D628" s="9">
        <f>Parameters!$D$19</f>
        <v>1E-4</v>
      </c>
      <c r="E628" s="9">
        <f>Parameters!$E$19</f>
        <v>1</v>
      </c>
      <c r="H628" s="9" t="s">
        <v>3302</v>
      </c>
      <c r="I628" s="9">
        <v>0</v>
      </c>
      <c r="J628" s="9">
        <v>10</v>
      </c>
      <c r="L628" s="22" t="s">
        <v>6045</v>
      </c>
      <c r="M628" s="23" t="s">
        <v>5487</v>
      </c>
    </row>
    <row r="629" spans="1:16" x14ac:dyDescent="0.25">
      <c r="A629" t="s">
        <v>3303</v>
      </c>
      <c r="D629" s="9">
        <f>Parameters!$D$19</f>
        <v>1E-4</v>
      </c>
      <c r="E629" s="9">
        <f>Parameters!$E$19</f>
        <v>1</v>
      </c>
      <c r="H629" s="9" t="s">
        <v>3304</v>
      </c>
      <c r="I629" s="9">
        <v>0</v>
      </c>
      <c r="J629" s="9">
        <v>10</v>
      </c>
      <c r="L629" s="22" t="s">
        <v>6046</v>
      </c>
      <c r="M629" s="23" t="s">
        <v>5487</v>
      </c>
    </row>
  </sheetData>
  <sortState ref="A4:Z629">
    <sortCondition ref="A4:A629"/>
  </sortState>
  <mergeCells count="3">
    <mergeCell ref="B1:E1"/>
    <mergeCell ref="B2:C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148"/>
  <sheetViews>
    <sheetView workbookViewId="0">
      <selection activeCell="K33" sqref="K33"/>
    </sheetView>
  </sheetViews>
  <sheetFormatPr defaultRowHeight="15" x14ac:dyDescent="0.25"/>
  <sheetData>
    <row r="1" spans="1:2" x14ac:dyDescent="0.25">
      <c r="A1" s="17" t="s">
        <v>6694</v>
      </c>
    </row>
    <row r="2" spans="1:2" x14ac:dyDescent="0.25">
      <c r="A2" s="19" t="s">
        <v>6695</v>
      </c>
      <c r="B2" s="41"/>
    </row>
    <row r="3" spans="1:2" x14ac:dyDescent="0.25">
      <c r="A3" s="18">
        <v>1</v>
      </c>
      <c r="B3" s="18" t="s">
        <v>6696</v>
      </c>
    </row>
    <row r="4" spans="1:2" x14ac:dyDescent="0.25">
      <c r="A4" s="18">
        <v>2</v>
      </c>
      <c r="B4" s="18" t="s">
        <v>6697</v>
      </c>
    </row>
    <row r="5" spans="1:2" x14ac:dyDescent="0.25">
      <c r="A5" s="18">
        <v>3</v>
      </c>
      <c r="B5" s="18" t="s">
        <v>6698</v>
      </c>
    </row>
    <row r="6" spans="1:2" x14ac:dyDescent="0.25">
      <c r="A6" s="18">
        <v>4</v>
      </c>
      <c r="B6" s="18" t="s">
        <v>6699</v>
      </c>
    </row>
    <row r="7" spans="1:2" x14ac:dyDescent="0.25">
      <c r="A7" s="18">
        <v>5</v>
      </c>
      <c r="B7" s="18" t="s">
        <v>6700</v>
      </c>
    </row>
    <row r="8" spans="1:2" x14ac:dyDescent="0.25">
      <c r="A8" s="18">
        <v>6</v>
      </c>
      <c r="B8" s="18" t="s">
        <v>6701</v>
      </c>
    </row>
    <row r="9" spans="1:2" x14ac:dyDescent="0.25">
      <c r="A9" s="18">
        <v>7</v>
      </c>
      <c r="B9" s="18" t="s">
        <v>6702</v>
      </c>
    </row>
    <row r="10" spans="1:2" x14ac:dyDescent="0.25">
      <c r="A10" s="18">
        <v>8</v>
      </c>
      <c r="B10" s="18" t="s">
        <v>6703</v>
      </c>
    </row>
    <row r="11" spans="1:2" x14ac:dyDescent="0.25">
      <c r="A11" s="18">
        <v>9</v>
      </c>
      <c r="B11" s="18" t="s">
        <v>6704</v>
      </c>
    </row>
    <row r="12" spans="1:2" x14ac:dyDescent="0.25">
      <c r="A12" s="18">
        <v>10</v>
      </c>
      <c r="B12" s="18" t="s">
        <v>6705</v>
      </c>
    </row>
    <row r="13" spans="1:2" x14ac:dyDescent="0.25">
      <c r="A13" s="18">
        <v>11</v>
      </c>
      <c r="B13" s="18" t="s">
        <v>6706</v>
      </c>
    </row>
    <row r="14" spans="1:2" x14ac:dyDescent="0.25">
      <c r="A14" s="18">
        <v>12</v>
      </c>
      <c r="B14" s="18" t="s">
        <v>6707</v>
      </c>
    </row>
    <row r="15" spans="1:2" x14ac:dyDescent="0.25">
      <c r="A15" s="18">
        <v>13</v>
      </c>
      <c r="B15" s="18" t="s">
        <v>6708</v>
      </c>
    </row>
    <row r="16" spans="1:2" x14ac:dyDescent="0.25">
      <c r="A16" s="18">
        <v>14</v>
      </c>
      <c r="B16" s="18" t="s">
        <v>6709</v>
      </c>
    </row>
    <row r="17" spans="1:2" x14ac:dyDescent="0.25">
      <c r="A17" s="18">
        <v>15</v>
      </c>
      <c r="B17" s="18" t="s">
        <v>6710</v>
      </c>
    </row>
    <row r="18" spans="1:2" x14ac:dyDescent="0.25">
      <c r="A18" s="18">
        <v>16</v>
      </c>
      <c r="B18" s="18" t="s">
        <v>6711</v>
      </c>
    </row>
    <row r="19" spans="1:2" x14ac:dyDescent="0.25">
      <c r="A19" s="18">
        <v>17</v>
      </c>
      <c r="B19" s="18" t="s">
        <v>6712</v>
      </c>
    </row>
    <row r="20" spans="1:2" x14ac:dyDescent="0.25">
      <c r="A20" s="18">
        <v>18</v>
      </c>
      <c r="B20" s="18" t="s">
        <v>6713</v>
      </c>
    </row>
    <row r="21" spans="1:2" x14ac:dyDescent="0.25">
      <c r="A21" s="18">
        <v>19</v>
      </c>
      <c r="B21" s="18" t="s">
        <v>6714</v>
      </c>
    </row>
    <row r="22" spans="1:2" x14ac:dyDescent="0.25">
      <c r="A22" s="18">
        <v>20</v>
      </c>
      <c r="B22" s="18" t="s">
        <v>6715</v>
      </c>
    </row>
    <row r="23" spans="1:2" x14ac:dyDescent="0.25">
      <c r="A23" s="18">
        <v>21</v>
      </c>
      <c r="B23" s="18" t="s">
        <v>6716</v>
      </c>
    </row>
    <row r="24" spans="1:2" x14ac:dyDescent="0.25">
      <c r="A24" s="18">
        <v>22</v>
      </c>
      <c r="B24" s="18" t="s">
        <v>6717</v>
      </c>
    </row>
    <row r="25" spans="1:2" x14ac:dyDescent="0.25">
      <c r="A25" s="18">
        <v>23</v>
      </c>
      <c r="B25" s="18" t="s">
        <v>6718</v>
      </c>
    </row>
    <row r="26" spans="1:2" x14ac:dyDescent="0.25">
      <c r="A26" s="18">
        <v>24</v>
      </c>
      <c r="B26" s="18" t="s">
        <v>6719</v>
      </c>
    </row>
    <row r="27" spans="1:2" x14ac:dyDescent="0.25">
      <c r="A27" s="18">
        <v>25</v>
      </c>
      <c r="B27" s="18" t="s">
        <v>6720</v>
      </c>
    </row>
    <row r="28" spans="1:2" x14ac:dyDescent="0.25">
      <c r="A28" s="18">
        <v>26</v>
      </c>
      <c r="B28" s="18" t="s">
        <v>6721</v>
      </c>
    </row>
    <row r="29" spans="1:2" x14ac:dyDescent="0.25">
      <c r="A29" s="18">
        <v>27</v>
      </c>
      <c r="B29" s="18" t="s">
        <v>6722</v>
      </c>
    </row>
    <row r="30" spans="1:2" x14ac:dyDescent="0.25">
      <c r="A30" s="18">
        <v>28</v>
      </c>
      <c r="B30" s="18" t="s">
        <v>6723</v>
      </c>
    </row>
    <row r="31" spans="1:2" x14ac:dyDescent="0.25">
      <c r="A31" s="18">
        <v>29</v>
      </c>
      <c r="B31" s="18" t="s">
        <v>6724</v>
      </c>
    </row>
    <row r="32" spans="1:2" x14ac:dyDescent="0.25">
      <c r="A32" s="18">
        <v>30</v>
      </c>
      <c r="B32" s="18" t="s">
        <v>6725</v>
      </c>
    </row>
    <row r="33" spans="1:2" x14ac:dyDescent="0.25">
      <c r="A33" s="18">
        <v>31</v>
      </c>
      <c r="B33" s="18" t="s">
        <v>6726</v>
      </c>
    </row>
    <row r="34" spans="1:2" x14ac:dyDescent="0.25">
      <c r="A34" s="18">
        <v>32</v>
      </c>
      <c r="B34" s="18" t="s">
        <v>6727</v>
      </c>
    </row>
    <row r="35" spans="1:2" x14ac:dyDescent="0.25">
      <c r="A35" s="18">
        <v>33</v>
      </c>
      <c r="B35" s="18" t="s">
        <v>6728</v>
      </c>
    </row>
    <row r="36" spans="1:2" x14ac:dyDescent="0.25">
      <c r="A36" s="18">
        <v>34</v>
      </c>
      <c r="B36" s="18" t="s">
        <v>6729</v>
      </c>
    </row>
    <row r="37" spans="1:2" x14ac:dyDescent="0.25">
      <c r="A37" s="18">
        <v>35</v>
      </c>
      <c r="B37" s="18" t="s">
        <v>6730</v>
      </c>
    </row>
    <row r="38" spans="1:2" x14ac:dyDescent="0.25">
      <c r="A38" s="18">
        <v>36</v>
      </c>
      <c r="B38" s="18" t="s">
        <v>6731</v>
      </c>
    </row>
    <row r="39" spans="1:2" x14ac:dyDescent="0.25">
      <c r="A39" s="18">
        <v>37</v>
      </c>
      <c r="B39" s="18" t="s">
        <v>6732</v>
      </c>
    </row>
    <row r="40" spans="1:2" x14ac:dyDescent="0.25">
      <c r="A40" s="18">
        <v>38</v>
      </c>
      <c r="B40" s="18" t="s">
        <v>6733</v>
      </c>
    </row>
    <row r="41" spans="1:2" x14ac:dyDescent="0.25">
      <c r="A41" s="18">
        <v>39</v>
      </c>
      <c r="B41" s="18" t="s">
        <v>6734</v>
      </c>
    </row>
    <row r="42" spans="1:2" x14ac:dyDescent="0.25">
      <c r="A42" s="18">
        <v>40</v>
      </c>
      <c r="B42" s="18" t="s">
        <v>6735</v>
      </c>
    </row>
    <row r="43" spans="1:2" x14ac:dyDescent="0.25">
      <c r="A43" s="18">
        <v>41</v>
      </c>
      <c r="B43" s="18" t="s">
        <v>6736</v>
      </c>
    </row>
    <row r="44" spans="1:2" x14ac:dyDescent="0.25">
      <c r="A44" s="18">
        <v>42</v>
      </c>
      <c r="B44" s="18" t="s">
        <v>6737</v>
      </c>
    </row>
    <row r="45" spans="1:2" x14ac:dyDescent="0.25">
      <c r="A45" s="18">
        <v>43</v>
      </c>
      <c r="B45" s="18" t="s">
        <v>6738</v>
      </c>
    </row>
    <row r="46" spans="1:2" x14ac:dyDescent="0.25">
      <c r="A46" s="18">
        <v>44</v>
      </c>
      <c r="B46" s="18" t="s">
        <v>6739</v>
      </c>
    </row>
    <row r="47" spans="1:2" x14ac:dyDescent="0.25">
      <c r="A47" s="18">
        <v>45</v>
      </c>
      <c r="B47" s="18" t="s">
        <v>6740</v>
      </c>
    </row>
    <row r="48" spans="1:2" x14ac:dyDescent="0.25">
      <c r="A48" s="18">
        <v>46</v>
      </c>
      <c r="B48" s="18" t="s">
        <v>6741</v>
      </c>
    </row>
    <row r="49" spans="1:2" x14ac:dyDescent="0.25">
      <c r="A49" s="18">
        <v>47</v>
      </c>
      <c r="B49" s="18" t="s">
        <v>6742</v>
      </c>
    </row>
    <row r="50" spans="1:2" x14ac:dyDescent="0.25">
      <c r="A50" s="18">
        <v>48</v>
      </c>
      <c r="B50" s="18" t="s">
        <v>6743</v>
      </c>
    </row>
    <row r="51" spans="1:2" x14ac:dyDescent="0.25">
      <c r="A51" s="18">
        <v>49</v>
      </c>
      <c r="B51" s="18" t="s">
        <v>6744</v>
      </c>
    </row>
    <row r="52" spans="1:2" x14ac:dyDescent="0.25">
      <c r="A52" s="18">
        <v>50</v>
      </c>
      <c r="B52" s="18" t="s">
        <v>6745</v>
      </c>
    </row>
    <row r="53" spans="1:2" x14ac:dyDescent="0.25">
      <c r="A53" s="18">
        <v>51</v>
      </c>
      <c r="B53" s="18" t="s">
        <v>6746</v>
      </c>
    </row>
    <row r="54" spans="1:2" x14ac:dyDescent="0.25">
      <c r="A54" s="18">
        <v>52</v>
      </c>
      <c r="B54" s="18" t="s">
        <v>6747</v>
      </c>
    </row>
    <row r="55" spans="1:2" x14ac:dyDescent="0.25">
      <c r="A55" s="18">
        <v>53</v>
      </c>
      <c r="B55" s="18" t="s">
        <v>6748</v>
      </c>
    </row>
    <row r="56" spans="1:2" x14ac:dyDescent="0.25">
      <c r="A56" s="18">
        <v>54</v>
      </c>
      <c r="B56" s="18" t="s">
        <v>6749</v>
      </c>
    </row>
    <row r="57" spans="1:2" x14ac:dyDescent="0.25">
      <c r="A57" s="18">
        <v>55</v>
      </c>
      <c r="B57" s="18" t="s">
        <v>6750</v>
      </c>
    </row>
    <row r="58" spans="1:2" x14ac:dyDescent="0.25">
      <c r="A58" s="18">
        <v>56</v>
      </c>
      <c r="B58" s="18" t="s">
        <v>6751</v>
      </c>
    </row>
    <row r="59" spans="1:2" x14ac:dyDescent="0.25">
      <c r="A59" s="18">
        <v>57</v>
      </c>
      <c r="B59" s="18" t="s">
        <v>6752</v>
      </c>
    </row>
    <row r="60" spans="1:2" x14ac:dyDescent="0.25">
      <c r="A60" s="18">
        <v>58</v>
      </c>
      <c r="B60" s="18" t="s">
        <v>6753</v>
      </c>
    </row>
    <row r="61" spans="1:2" x14ac:dyDescent="0.25">
      <c r="A61" s="18">
        <v>59</v>
      </c>
      <c r="B61" s="18" t="s">
        <v>6754</v>
      </c>
    </row>
    <row r="62" spans="1:2" x14ac:dyDescent="0.25">
      <c r="A62" s="18">
        <v>60</v>
      </c>
      <c r="B62" s="18" t="s">
        <v>6755</v>
      </c>
    </row>
    <row r="63" spans="1:2" x14ac:dyDescent="0.25">
      <c r="A63" s="18">
        <v>61</v>
      </c>
      <c r="B63" s="18" t="s">
        <v>6756</v>
      </c>
    </row>
    <row r="64" spans="1:2" x14ac:dyDescent="0.25">
      <c r="A64" s="18">
        <v>62</v>
      </c>
      <c r="B64" s="18" t="s">
        <v>6757</v>
      </c>
    </row>
    <row r="65" spans="1:2" x14ac:dyDescent="0.25">
      <c r="A65" s="18">
        <v>63</v>
      </c>
      <c r="B65" s="18" t="s">
        <v>6758</v>
      </c>
    </row>
    <row r="66" spans="1:2" x14ac:dyDescent="0.25">
      <c r="A66" s="18">
        <v>64</v>
      </c>
      <c r="B66" s="18" t="s">
        <v>6759</v>
      </c>
    </row>
    <row r="67" spans="1:2" x14ac:dyDescent="0.25">
      <c r="A67" s="18">
        <v>65</v>
      </c>
      <c r="B67" s="18" t="s">
        <v>6760</v>
      </c>
    </row>
    <row r="68" spans="1:2" x14ac:dyDescent="0.25">
      <c r="A68" s="18">
        <v>66</v>
      </c>
      <c r="B68" s="18" t="s">
        <v>6761</v>
      </c>
    </row>
    <row r="69" spans="1:2" x14ac:dyDescent="0.25">
      <c r="A69" s="18">
        <v>67</v>
      </c>
      <c r="B69" s="18" t="s">
        <v>6762</v>
      </c>
    </row>
    <row r="70" spans="1:2" x14ac:dyDescent="0.25">
      <c r="A70" s="18">
        <v>68</v>
      </c>
      <c r="B70" s="18" t="s">
        <v>6763</v>
      </c>
    </row>
    <row r="71" spans="1:2" x14ac:dyDescent="0.25">
      <c r="A71" s="18">
        <v>69</v>
      </c>
      <c r="B71" s="18" t="s">
        <v>6764</v>
      </c>
    </row>
    <row r="72" spans="1:2" x14ac:dyDescent="0.25">
      <c r="A72" s="18">
        <v>70</v>
      </c>
      <c r="B72" s="18" t="s">
        <v>6765</v>
      </c>
    </row>
    <row r="73" spans="1:2" x14ac:dyDescent="0.25">
      <c r="A73" s="18">
        <v>71</v>
      </c>
      <c r="B73" s="18" t="s">
        <v>6766</v>
      </c>
    </row>
    <row r="74" spans="1:2" x14ac:dyDescent="0.25">
      <c r="A74" s="18">
        <v>72</v>
      </c>
      <c r="B74" s="18" t="s">
        <v>6767</v>
      </c>
    </row>
    <row r="75" spans="1:2" x14ac:dyDescent="0.25">
      <c r="A75" s="18">
        <v>73</v>
      </c>
      <c r="B75" s="18" t="s">
        <v>6768</v>
      </c>
    </row>
    <row r="76" spans="1:2" x14ac:dyDescent="0.25">
      <c r="A76" s="18">
        <v>74</v>
      </c>
      <c r="B76" s="18" t="s">
        <v>6769</v>
      </c>
    </row>
    <row r="77" spans="1:2" x14ac:dyDescent="0.25">
      <c r="A77" s="18">
        <v>75</v>
      </c>
      <c r="B77" s="18" t="s">
        <v>6770</v>
      </c>
    </row>
    <row r="78" spans="1:2" x14ac:dyDescent="0.25">
      <c r="A78" s="18">
        <v>76</v>
      </c>
      <c r="B78" s="18" t="s">
        <v>6771</v>
      </c>
    </row>
    <row r="79" spans="1:2" x14ac:dyDescent="0.25">
      <c r="A79" s="18">
        <v>77</v>
      </c>
      <c r="B79" s="18" t="s">
        <v>6772</v>
      </c>
    </row>
    <row r="80" spans="1:2" x14ac:dyDescent="0.25">
      <c r="A80" s="18">
        <v>78</v>
      </c>
      <c r="B80" s="18" t="s">
        <v>6773</v>
      </c>
    </row>
    <row r="81" spans="1:2" x14ac:dyDescent="0.25">
      <c r="A81" s="18">
        <v>79</v>
      </c>
      <c r="B81" s="18" t="s">
        <v>6774</v>
      </c>
    </row>
    <row r="82" spans="1:2" x14ac:dyDescent="0.25">
      <c r="A82" s="18">
        <v>80</v>
      </c>
      <c r="B82" s="18" t="s">
        <v>6775</v>
      </c>
    </row>
    <row r="83" spans="1:2" x14ac:dyDescent="0.25">
      <c r="A83" s="18">
        <v>81</v>
      </c>
      <c r="B83" s="18" t="s">
        <v>6776</v>
      </c>
    </row>
    <row r="84" spans="1:2" x14ac:dyDescent="0.25">
      <c r="A84" s="18">
        <v>82</v>
      </c>
      <c r="B84" s="18" t="s">
        <v>6777</v>
      </c>
    </row>
    <row r="85" spans="1:2" x14ac:dyDescent="0.25">
      <c r="A85" s="18">
        <v>83</v>
      </c>
      <c r="B85" s="18" t="s">
        <v>6778</v>
      </c>
    </row>
    <row r="86" spans="1:2" x14ac:dyDescent="0.25">
      <c r="A86" s="18">
        <v>84</v>
      </c>
      <c r="B86" s="18" t="s">
        <v>6779</v>
      </c>
    </row>
    <row r="87" spans="1:2" x14ac:dyDescent="0.25">
      <c r="A87" s="18">
        <v>85</v>
      </c>
      <c r="B87" s="18" t="s">
        <v>6780</v>
      </c>
    </row>
    <row r="88" spans="1:2" x14ac:dyDescent="0.25">
      <c r="A88" s="18">
        <v>86</v>
      </c>
      <c r="B88" s="18" t="s">
        <v>6781</v>
      </c>
    </row>
    <row r="89" spans="1:2" x14ac:dyDescent="0.25">
      <c r="A89" s="18">
        <v>87</v>
      </c>
      <c r="B89" s="18" t="s">
        <v>6782</v>
      </c>
    </row>
    <row r="90" spans="1:2" x14ac:dyDescent="0.25">
      <c r="A90" s="18">
        <v>88</v>
      </c>
      <c r="B90" s="18" t="s">
        <v>6783</v>
      </c>
    </row>
    <row r="91" spans="1:2" x14ac:dyDescent="0.25">
      <c r="A91" s="18">
        <v>89</v>
      </c>
      <c r="B91" s="18" t="s">
        <v>6784</v>
      </c>
    </row>
    <row r="92" spans="1:2" x14ac:dyDescent="0.25">
      <c r="A92" s="18">
        <v>90</v>
      </c>
      <c r="B92" s="18" t="s">
        <v>6785</v>
      </c>
    </row>
    <row r="93" spans="1:2" x14ac:dyDescent="0.25">
      <c r="A93" s="18">
        <v>91</v>
      </c>
      <c r="B93" s="18" t="s">
        <v>6786</v>
      </c>
    </row>
    <row r="94" spans="1:2" x14ac:dyDescent="0.25">
      <c r="A94" s="18">
        <v>92</v>
      </c>
      <c r="B94" s="18" t="s">
        <v>6787</v>
      </c>
    </row>
    <row r="95" spans="1:2" x14ac:dyDescent="0.25">
      <c r="A95" s="18">
        <v>93</v>
      </c>
      <c r="B95" s="18" t="s">
        <v>6788</v>
      </c>
    </row>
    <row r="96" spans="1:2" x14ac:dyDescent="0.25">
      <c r="A96" s="18">
        <v>94</v>
      </c>
      <c r="B96" s="18" t="s">
        <v>6789</v>
      </c>
    </row>
    <row r="97" spans="1:2" x14ac:dyDescent="0.25">
      <c r="A97" s="18">
        <v>95</v>
      </c>
      <c r="B97" s="18" t="s">
        <v>6790</v>
      </c>
    </row>
    <row r="98" spans="1:2" x14ac:dyDescent="0.25">
      <c r="A98" s="18">
        <v>96</v>
      </c>
      <c r="B98" s="18" t="s">
        <v>6791</v>
      </c>
    </row>
    <row r="99" spans="1:2" x14ac:dyDescent="0.25">
      <c r="A99" s="18">
        <v>97</v>
      </c>
      <c r="B99" s="18" t="s">
        <v>6792</v>
      </c>
    </row>
    <row r="100" spans="1:2" x14ac:dyDescent="0.25">
      <c r="A100" s="18">
        <v>98</v>
      </c>
      <c r="B100" s="18" t="s">
        <v>6793</v>
      </c>
    </row>
    <row r="101" spans="1:2" x14ac:dyDescent="0.25">
      <c r="A101" s="18">
        <v>99</v>
      </c>
      <c r="B101" s="18" t="s">
        <v>6794</v>
      </c>
    </row>
    <row r="102" spans="1:2" x14ac:dyDescent="0.25">
      <c r="A102" s="18">
        <v>100</v>
      </c>
      <c r="B102" s="18" t="s">
        <v>6795</v>
      </c>
    </row>
    <row r="103" spans="1:2" x14ac:dyDescent="0.25">
      <c r="A103" s="18">
        <v>101</v>
      </c>
      <c r="B103" s="18" t="s">
        <v>6796</v>
      </c>
    </row>
    <row r="104" spans="1:2" x14ac:dyDescent="0.25">
      <c r="A104" s="18">
        <v>102</v>
      </c>
      <c r="B104" s="18" t="s">
        <v>6797</v>
      </c>
    </row>
    <row r="105" spans="1:2" x14ac:dyDescent="0.25">
      <c r="A105" s="18">
        <v>103</v>
      </c>
      <c r="B105" s="18" t="s">
        <v>6798</v>
      </c>
    </row>
    <row r="106" spans="1:2" x14ac:dyDescent="0.25">
      <c r="A106" s="18">
        <v>104</v>
      </c>
      <c r="B106" s="18" t="s">
        <v>6799</v>
      </c>
    </row>
    <row r="107" spans="1:2" x14ac:dyDescent="0.25">
      <c r="A107" s="18">
        <v>105</v>
      </c>
      <c r="B107" s="18" t="s">
        <v>6800</v>
      </c>
    </row>
    <row r="108" spans="1:2" x14ac:dyDescent="0.25">
      <c r="A108" s="18">
        <v>106</v>
      </c>
      <c r="B108" s="18" t="s">
        <v>6801</v>
      </c>
    </row>
    <row r="109" spans="1:2" x14ac:dyDescent="0.25">
      <c r="A109" s="18">
        <v>107</v>
      </c>
      <c r="B109" s="18" t="s">
        <v>6802</v>
      </c>
    </row>
    <row r="110" spans="1:2" x14ac:dyDescent="0.25">
      <c r="A110" s="18">
        <v>108</v>
      </c>
      <c r="B110" s="18" t="s">
        <v>6803</v>
      </c>
    </row>
    <row r="111" spans="1:2" x14ac:dyDescent="0.25">
      <c r="A111" s="18">
        <v>109</v>
      </c>
      <c r="B111" s="18" t="s">
        <v>6804</v>
      </c>
    </row>
    <row r="112" spans="1:2" x14ac:dyDescent="0.25">
      <c r="A112" s="18">
        <v>110</v>
      </c>
      <c r="B112" s="18" t="s">
        <v>6805</v>
      </c>
    </row>
    <row r="113" spans="1:2" x14ac:dyDescent="0.25">
      <c r="A113" s="18">
        <v>111</v>
      </c>
      <c r="B113" s="18" t="s">
        <v>6806</v>
      </c>
    </row>
    <row r="114" spans="1:2" x14ac:dyDescent="0.25">
      <c r="A114" s="18">
        <v>112</v>
      </c>
      <c r="B114" s="18" t="s">
        <v>6807</v>
      </c>
    </row>
    <row r="115" spans="1:2" x14ac:dyDescent="0.25">
      <c r="A115" s="18">
        <v>113</v>
      </c>
      <c r="B115" s="18" t="s">
        <v>6808</v>
      </c>
    </row>
    <row r="116" spans="1:2" x14ac:dyDescent="0.25">
      <c r="A116" s="18">
        <v>114</v>
      </c>
      <c r="B116" s="18" t="s">
        <v>6809</v>
      </c>
    </row>
    <row r="117" spans="1:2" x14ac:dyDescent="0.25">
      <c r="A117" s="18">
        <v>115</v>
      </c>
      <c r="B117" s="18" t="s">
        <v>6810</v>
      </c>
    </row>
    <row r="118" spans="1:2" x14ac:dyDescent="0.25">
      <c r="A118" s="18">
        <v>116</v>
      </c>
      <c r="B118" s="18" t="s">
        <v>6811</v>
      </c>
    </row>
    <row r="119" spans="1:2" x14ac:dyDescent="0.25">
      <c r="A119" s="18">
        <v>117</v>
      </c>
      <c r="B119" s="18" t="s">
        <v>6812</v>
      </c>
    </row>
    <row r="120" spans="1:2" x14ac:dyDescent="0.25">
      <c r="A120" s="18">
        <v>118</v>
      </c>
      <c r="B120" s="18" t="s">
        <v>6813</v>
      </c>
    </row>
    <row r="121" spans="1:2" x14ac:dyDescent="0.25">
      <c r="A121" s="18">
        <v>119</v>
      </c>
      <c r="B121" s="18" t="s">
        <v>6814</v>
      </c>
    </row>
    <row r="122" spans="1:2" x14ac:dyDescent="0.25">
      <c r="A122" s="18">
        <v>120</v>
      </c>
      <c r="B122" s="18" t="s">
        <v>6815</v>
      </c>
    </row>
    <row r="123" spans="1:2" x14ac:dyDescent="0.25">
      <c r="A123" s="18">
        <v>121</v>
      </c>
      <c r="B123" s="18" t="s">
        <v>6816</v>
      </c>
    </row>
    <row r="124" spans="1:2" x14ac:dyDescent="0.25">
      <c r="A124" s="18">
        <v>122</v>
      </c>
      <c r="B124" s="18" t="s">
        <v>6817</v>
      </c>
    </row>
    <row r="125" spans="1:2" x14ac:dyDescent="0.25">
      <c r="A125" s="18">
        <v>123</v>
      </c>
      <c r="B125" s="18" t="s">
        <v>6818</v>
      </c>
    </row>
    <row r="126" spans="1:2" x14ac:dyDescent="0.25">
      <c r="A126" s="18">
        <v>124</v>
      </c>
      <c r="B126" s="18" t="s">
        <v>6819</v>
      </c>
    </row>
    <row r="127" spans="1:2" x14ac:dyDescent="0.25">
      <c r="A127" s="18">
        <v>125</v>
      </c>
      <c r="B127" s="18" t="s">
        <v>6820</v>
      </c>
    </row>
    <row r="128" spans="1:2" x14ac:dyDescent="0.25">
      <c r="A128" s="18">
        <v>126</v>
      </c>
      <c r="B128" s="18" t="s">
        <v>6821</v>
      </c>
    </row>
    <row r="129" spans="1:2" x14ac:dyDescent="0.25">
      <c r="A129" s="18"/>
      <c r="B129" s="18"/>
    </row>
    <row r="130" spans="1:2" x14ac:dyDescent="0.25">
      <c r="A130" s="19" t="s">
        <v>6822</v>
      </c>
      <c r="B130" s="18"/>
    </row>
    <row r="131" spans="1:2" x14ac:dyDescent="0.25">
      <c r="A131" s="18">
        <v>127</v>
      </c>
      <c r="B131" s="18" t="s">
        <v>6823</v>
      </c>
    </row>
    <row r="132" spans="1:2" x14ac:dyDescent="0.25">
      <c r="A132" s="18">
        <v>128</v>
      </c>
      <c r="B132" s="18" t="s">
        <v>6824</v>
      </c>
    </row>
    <row r="133" spans="1:2" x14ac:dyDescent="0.25">
      <c r="A133" s="18">
        <v>129</v>
      </c>
      <c r="B133" s="18" t="s">
        <v>6825</v>
      </c>
    </row>
    <row r="134" spans="1:2" x14ac:dyDescent="0.25">
      <c r="A134" s="18">
        <v>130</v>
      </c>
      <c r="B134" s="18" t="s">
        <v>6826</v>
      </c>
    </row>
    <row r="135" spans="1:2" x14ac:dyDescent="0.25">
      <c r="A135" s="18">
        <v>131</v>
      </c>
      <c r="B135" s="18" t="s">
        <v>6827</v>
      </c>
    </row>
    <row r="136" spans="1:2" x14ac:dyDescent="0.25">
      <c r="A136" s="18">
        <v>132</v>
      </c>
      <c r="B136" s="18" t="s">
        <v>6828</v>
      </c>
    </row>
    <row r="137" spans="1:2" x14ac:dyDescent="0.25">
      <c r="A137" s="18">
        <v>133</v>
      </c>
      <c r="B137" s="18" t="s">
        <v>6829</v>
      </c>
    </row>
    <row r="138" spans="1:2" x14ac:dyDescent="0.25">
      <c r="A138" s="18">
        <v>134</v>
      </c>
      <c r="B138" s="18" t="s">
        <v>6830</v>
      </c>
    </row>
    <row r="139" spans="1:2" x14ac:dyDescent="0.25">
      <c r="A139" s="18">
        <v>135</v>
      </c>
      <c r="B139" s="18" t="s">
        <v>6831</v>
      </c>
    </row>
    <row r="140" spans="1:2" x14ac:dyDescent="0.25">
      <c r="A140" s="18">
        <v>136</v>
      </c>
      <c r="B140" s="18" t="s">
        <v>6832</v>
      </c>
    </row>
    <row r="141" spans="1:2" x14ac:dyDescent="0.25">
      <c r="A141" s="18">
        <v>137</v>
      </c>
      <c r="B141" s="18" t="s">
        <v>6833</v>
      </c>
    </row>
    <row r="142" spans="1:2" x14ac:dyDescent="0.25">
      <c r="A142" s="18">
        <v>138</v>
      </c>
      <c r="B142" s="18" t="s">
        <v>6834</v>
      </c>
    </row>
    <row r="143" spans="1:2" x14ac:dyDescent="0.25">
      <c r="A143" s="18">
        <v>139</v>
      </c>
      <c r="B143" s="18" t="s">
        <v>6835</v>
      </c>
    </row>
    <row r="144" spans="1:2" x14ac:dyDescent="0.25">
      <c r="A144" s="18">
        <v>140</v>
      </c>
      <c r="B144" s="18" t="s">
        <v>6836</v>
      </c>
    </row>
    <row r="145" spans="1:2" x14ac:dyDescent="0.25">
      <c r="A145" s="18">
        <v>141</v>
      </c>
      <c r="B145" s="18" t="s">
        <v>6837</v>
      </c>
    </row>
    <row r="146" spans="1:2" x14ac:dyDescent="0.25">
      <c r="A146" s="18"/>
      <c r="B146" s="18"/>
    </row>
    <row r="147" spans="1:2" x14ac:dyDescent="0.25">
      <c r="A147" s="19" t="s">
        <v>6838</v>
      </c>
      <c r="B147" s="18"/>
    </row>
    <row r="148" spans="1:2" x14ac:dyDescent="0.25">
      <c r="A148" s="18">
        <v>142</v>
      </c>
      <c r="B148" s="18" t="s">
        <v>6839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8"/>
  <sheetViews>
    <sheetView topLeftCell="A28" workbookViewId="0">
      <selection activeCell="C68" sqref="C68"/>
    </sheetView>
  </sheetViews>
  <sheetFormatPr defaultRowHeight="15" x14ac:dyDescent="0.25"/>
  <cols>
    <col min="1" max="1" width="13.5703125" customWidth="1"/>
    <col min="2" max="2" width="49.140625" customWidth="1"/>
    <col min="3" max="3" width="75.7109375" customWidth="1"/>
    <col min="4" max="4" width="4.5703125" bestFit="1" customWidth="1"/>
    <col min="5" max="5" width="4" bestFit="1" customWidth="1"/>
    <col min="6" max="6" width="45.85546875" bestFit="1" customWidth="1"/>
    <col min="7" max="7" width="22.85546875" bestFit="1" customWidth="1"/>
    <col min="8" max="8" width="8.140625" bestFit="1" customWidth="1"/>
  </cols>
  <sheetData>
    <row r="1" spans="1:8" x14ac:dyDescent="0.25">
      <c r="A1" s="17" t="s">
        <v>4</v>
      </c>
      <c r="B1" s="17" t="s">
        <v>3863</v>
      </c>
      <c r="C1" s="17" t="s">
        <v>6423</v>
      </c>
      <c r="D1" s="17"/>
      <c r="E1" s="17"/>
      <c r="F1" s="17" t="s">
        <v>3864</v>
      </c>
      <c r="G1" s="17" t="s">
        <v>3865</v>
      </c>
      <c r="H1" s="39" t="s">
        <v>3866</v>
      </c>
    </row>
    <row r="2" spans="1:8" x14ac:dyDescent="0.25">
      <c r="A2" t="s">
        <v>1682</v>
      </c>
      <c r="B2" t="s">
        <v>3867</v>
      </c>
      <c r="C2" t="s">
        <v>6424</v>
      </c>
      <c r="D2">
        <v>-300</v>
      </c>
      <c r="E2">
        <v>300</v>
      </c>
      <c r="F2" t="s">
        <v>3868</v>
      </c>
      <c r="H2" s="2">
        <v>125</v>
      </c>
    </row>
    <row r="3" spans="1:8" x14ac:dyDescent="0.25">
      <c r="A3" t="s">
        <v>1684</v>
      </c>
      <c r="B3" t="s">
        <v>3898</v>
      </c>
      <c r="C3" t="s">
        <v>6425</v>
      </c>
      <c r="D3">
        <v>-300</v>
      </c>
      <c r="E3">
        <v>300</v>
      </c>
      <c r="F3" t="s">
        <v>3868</v>
      </c>
      <c r="H3" s="2"/>
    </row>
    <row r="4" spans="1:8" x14ac:dyDescent="0.25">
      <c r="A4" t="s">
        <v>1686</v>
      </c>
      <c r="B4" t="s">
        <v>3903</v>
      </c>
      <c r="C4" t="s">
        <v>6426</v>
      </c>
      <c r="D4">
        <v>-300</v>
      </c>
      <c r="E4">
        <v>300</v>
      </c>
      <c r="F4" t="s">
        <v>3904</v>
      </c>
      <c r="H4" s="2"/>
    </row>
    <row r="5" spans="1:8" x14ac:dyDescent="0.25">
      <c r="A5" t="s">
        <v>1688</v>
      </c>
      <c r="B5" t="s">
        <v>3907</v>
      </c>
      <c r="C5" t="s">
        <v>6427</v>
      </c>
      <c r="D5">
        <v>-300</v>
      </c>
      <c r="E5">
        <v>300</v>
      </c>
      <c r="F5" t="s">
        <v>3868</v>
      </c>
      <c r="H5" s="2"/>
    </row>
    <row r="6" spans="1:8" x14ac:dyDescent="0.25">
      <c r="A6" t="s">
        <v>1690</v>
      </c>
      <c r="B6" t="s">
        <v>3914</v>
      </c>
      <c r="C6" t="s">
        <v>6428</v>
      </c>
      <c r="D6">
        <v>-300</v>
      </c>
      <c r="E6">
        <v>300</v>
      </c>
      <c r="F6" t="s">
        <v>3868</v>
      </c>
      <c r="H6" s="2">
        <v>132</v>
      </c>
    </row>
    <row r="7" spans="1:8" x14ac:dyDescent="0.25">
      <c r="A7" t="s">
        <v>1692</v>
      </c>
      <c r="B7" t="s">
        <v>3927</v>
      </c>
      <c r="C7" t="s">
        <v>6429</v>
      </c>
      <c r="D7">
        <v>-300</v>
      </c>
      <c r="E7">
        <v>300</v>
      </c>
      <c r="F7" t="s">
        <v>3868</v>
      </c>
      <c r="H7" s="2">
        <v>84</v>
      </c>
    </row>
    <row r="8" spans="1:8" x14ac:dyDescent="0.25">
      <c r="A8" t="s">
        <v>1694</v>
      </c>
      <c r="B8" t="s">
        <v>3928</v>
      </c>
      <c r="C8" t="s">
        <v>6430</v>
      </c>
      <c r="D8">
        <v>-300</v>
      </c>
      <c r="E8">
        <v>300</v>
      </c>
      <c r="F8" t="s">
        <v>3868</v>
      </c>
      <c r="H8" s="2"/>
    </row>
    <row r="9" spans="1:8" x14ac:dyDescent="0.25">
      <c r="A9" t="s">
        <v>1696</v>
      </c>
      <c r="B9" t="s">
        <v>3947</v>
      </c>
      <c r="C9" t="s">
        <v>6431</v>
      </c>
      <c r="D9">
        <v>-300</v>
      </c>
      <c r="E9">
        <v>300</v>
      </c>
      <c r="F9" t="s">
        <v>3868</v>
      </c>
      <c r="H9" s="2"/>
    </row>
    <row r="10" spans="1:8" x14ac:dyDescent="0.25">
      <c r="A10" t="s">
        <v>1698</v>
      </c>
      <c r="B10" t="s">
        <v>3955</v>
      </c>
      <c r="C10" t="s">
        <v>6432</v>
      </c>
      <c r="D10">
        <v>-300</v>
      </c>
      <c r="E10">
        <v>300</v>
      </c>
      <c r="F10" t="s">
        <v>3868</v>
      </c>
      <c r="H10" s="2"/>
    </row>
    <row r="11" spans="1:8" x14ac:dyDescent="0.25">
      <c r="A11" t="s">
        <v>1700</v>
      </c>
      <c r="B11" t="s">
        <v>3968</v>
      </c>
      <c r="C11" t="s">
        <v>6433</v>
      </c>
      <c r="D11">
        <v>-300</v>
      </c>
      <c r="E11">
        <v>300</v>
      </c>
      <c r="F11" t="s">
        <v>3868</v>
      </c>
      <c r="H11" s="2"/>
    </row>
    <row r="12" spans="1:8" x14ac:dyDescent="0.25">
      <c r="A12" t="s">
        <v>6434</v>
      </c>
      <c r="B12" t="s">
        <v>6435</v>
      </c>
      <c r="C12" t="s">
        <v>6433</v>
      </c>
      <c r="D12">
        <v>-300</v>
      </c>
      <c r="E12">
        <v>300</v>
      </c>
      <c r="F12" t="s">
        <v>3868</v>
      </c>
      <c r="H12" s="2">
        <v>75</v>
      </c>
    </row>
    <row r="13" spans="1:8" x14ac:dyDescent="0.25">
      <c r="A13" t="s">
        <v>1702</v>
      </c>
      <c r="B13" t="s">
        <v>3999</v>
      </c>
      <c r="C13" t="s">
        <v>6436</v>
      </c>
      <c r="D13">
        <v>-300</v>
      </c>
      <c r="E13">
        <v>300</v>
      </c>
      <c r="F13" t="s">
        <v>3868</v>
      </c>
      <c r="H13" s="2"/>
    </row>
    <row r="14" spans="1:8" x14ac:dyDescent="0.25">
      <c r="A14" t="s">
        <v>1704</v>
      </c>
      <c r="B14" t="s">
        <v>4000</v>
      </c>
      <c r="C14" t="s">
        <v>6437</v>
      </c>
      <c r="D14">
        <v>-300</v>
      </c>
      <c r="E14">
        <v>300</v>
      </c>
      <c r="F14" t="s">
        <v>3868</v>
      </c>
      <c r="H14" s="2">
        <v>93</v>
      </c>
    </row>
    <row r="15" spans="1:8" x14ac:dyDescent="0.25">
      <c r="A15" t="s">
        <v>4006</v>
      </c>
      <c r="B15" t="s">
        <v>6439</v>
      </c>
      <c r="C15" t="s">
        <v>6438</v>
      </c>
      <c r="D15">
        <v>-300</v>
      </c>
      <c r="E15">
        <v>300</v>
      </c>
      <c r="F15" t="s">
        <v>4004</v>
      </c>
      <c r="G15" t="s">
        <v>4005</v>
      </c>
      <c r="H15" s="2"/>
    </row>
    <row r="16" spans="1:8" x14ac:dyDescent="0.25">
      <c r="A16" t="s">
        <v>1706</v>
      </c>
      <c r="B16" t="s">
        <v>4007</v>
      </c>
      <c r="C16" t="s">
        <v>6440</v>
      </c>
      <c r="D16">
        <v>-300</v>
      </c>
      <c r="E16">
        <v>300</v>
      </c>
      <c r="F16" t="s">
        <v>3904</v>
      </c>
      <c r="H16" s="2">
        <v>93</v>
      </c>
    </row>
    <row r="17" spans="1:8" x14ac:dyDescent="0.25">
      <c r="A17" t="s">
        <v>1708</v>
      </c>
      <c r="B17" t="s">
        <v>4024</v>
      </c>
      <c r="C17" t="s">
        <v>6441</v>
      </c>
      <c r="D17">
        <v>-300</v>
      </c>
      <c r="E17">
        <v>300</v>
      </c>
      <c r="F17" t="s">
        <v>3904</v>
      </c>
      <c r="H17" s="2"/>
    </row>
    <row r="18" spans="1:8" x14ac:dyDescent="0.25">
      <c r="A18" t="s">
        <v>1710</v>
      </c>
      <c r="B18" t="s">
        <v>4056</v>
      </c>
      <c r="C18" t="s">
        <v>6442</v>
      </c>
      <c r="D18">
        <v>-300</v>
      </c>
      <c r="E18">
        <v>300</v>
      </c>
      <c r="F18" t="s">
        <v>3868</v>
      </c>
      <c r="H18" s="2"/>
    </row>
    <row r="19" spans="1:8" x14ac:dyDescent="0.25">
      <c r="A19" t="s">
        <v>1712</v>
      </c>
      <c r="B19" t="s">
        <v>4057</v>
      </c>
      <c r="C19" t="s">
        <v>6443</v>
      </c>
      <c r="D19">
        <v>-300</v>
      </c>
      <c r="E19">
        <v>300</v>
      </c>
      <c r="F19" t="s">
        <v>3868</v>
      </c>
      <c r="H19" s="2"/>
    </row>
    <row r="20" spans="1:8" x14ac:dyDescent="0.25">
      <c r="A20" t="s">
        <v>1714</v>
      </c>
      <c r="B20" t="s">
        <v>4058</v>
      </c>
      <c r="C20" t="s">
        <v>6444</v>
      </c>
      <c r="D20">
        <v>-300</v>
      </c>
      <c r="E20">
        <v>300</v>
      </c>
      <c r="F20" t="s">
        <v>3868</v>
      </c>
      <c r="H20" s="2"/>
    </row>
    <row r="21" spans="1:8" x14ac:dyDescent="0.25">
      <c r="A21" t="s">
        <v>1716</v>
      </c>
      <c r="B21" t="s">
        <v>4061</v>
      </c>
      <c r="C21" t="s">
        <v>6445</v>
      </c>
      <c r="D21">
        <v>-300</v>
      </c>
      <c r="E21">
        <v>300</v>
      </c>
      <c r="F21" t="s">
        <v>3904</v>
      </c>
      <c r="H21" s="2"/>
    </row>
    <row r="22" spans="1:8" x14ac:dyDescent="0.25">
      <c r="A22" t="s">
        <v>1718</v>
      </c>
      <c r="B22" t="s">
        <v>4069</v>
      </c>
      <c r="C22" t="s">
        <v>6446</v>
      </c>
      <c r="D22">
        <v>-300</v>
      </c>
      <c r="E22">
        <v>300</v>
      </c>
      <c r="F22" t="s">
        <v>3868</v>
      </c>
      <c r="H22" s="2"/>
    </row>
    <row r="23" spans="1:8" x14ac:dyDescent="0.25">
      <c r="A23" t="s">
        <v>1720</v>
      </c>
      <c r="B23" t="s">
        <v>4076</v>
      </c>
      <c r="C23" t="s">
        <v>6447</v>
      </c>
      <c r="D23">
        <v>-300</v>
      </c>
      <c r="E23">
        <v>300</v>
      </c>
      <c r="F23" t="s">
        <v>3868</v>
      </c>
      <c r="H23" s="2"/>
    </row>
    <row r="24" spans="1:8" x14ac:dyDescent="0.25">
      <c r="A24" t="s">
        <v>1722</v>
      </c>
      <c r="B24" t="s">
        <v>4079</v>
      </c>
      <c r="C24" t="s">
        <v>6448</v>
      </c>
      <c r="D24">
        <v>-300</v>
      </c>
      <c r="E24">
        <v>300</v>
      </c>
      <c r="F24" t="s">
        <v>3868</v>
      </c>
      <c r="H24" s="2"/>
    </row>
    <row r="25" spans="1:8" x14ac:dyDescent="0.25">
      <c r="A25" t="s">
        <v>1724</v>
      </c>
      <c r="B25" t="s">
        <v>4087</v>
      </c>
      <c r="C25" t="s">
        <v>6449</v>
      </c>
      <c r="D25">
        <v>-300</v>
      </c>
      <c r="E25">
        <v>300</v>
      </c>
      <c r="F25" t="s">
        <v>3868</v>
      </c>
      <c r="H25" s="2"/>
    </row>
    <row r="26" spans="1:8" x14ac:dyDescent="0.25">
      <c r="A26" t="s">
        <v>6450</v>
      </c>
      <c r="B26" t="s">
        <v>6451</v>
      </c>
      <c r="C26" t="s">
        <v>6452</v>
      </c>
      <c r="D26">
        <v>-300</v>
      </c>
      <c r="E26">
        <v>300</v>
      </c>
      <c r="F26" t="s">
        <v>3868</v>
      </c>
      <c r="H26" s="2">
        <v>53</v>
      </c>
    </row>
    <row r="27" spans="1:8" x14ac:dyDescent="0.25">
      <c r="A27" t="s">
        <v>6453</v>
      </c>
      <c r="B27" t="s">
        <v>6454</v>
      </c>
      <c r="C27" t="s">
        <v>6455</v>
      </c>
      <c r="D27">
        <v>-300</v>
      </c>
      <c r="E27">
        <v>300</v>
      </c>
      <c r="F27" t="s">
        <v>3868</v>
      </c>
      <c r="H27" s="2">
        <v>53</v>
      </c>
    </row>
    <row r="28" spans="1:8" x14ac:dyDescent="0.25">
      <c r="A28" t="s">
        <v>1726</v>
      </c>
      <c r="B28" t="s">
        <v>4096</v>
      </c>
      <c r="C28" t="s">
        <v>6456</v>
      </c>
      <c r="D28">
        <v>-300</v>
      </c>
      <c r="E28">
        <v>300</v>
      </c>
      <c r="F28" t="s">
        <v>4097</v>
      </c>
      <c r="G28" t="s">
        <v>6457</v>
      </c>
      <c r="H28" s="2"/>
    </row>
    <row r="29" spans="1:8" x14ac:dyDescent="0.25">
      <c r="A29" t="s">
        <v>1728</v>
      </c>
      <c r="B29" t="s">
        <v>4107</v>
      </c>
      <c r="C29" t="s">
        <v>6458</v>
      </c>
      <c r="D29">
        <v>-300</v>
      </c>
      <c r="E29">
        <v>300</v>
      </c>
      <c r="F29" t="s">
        <v>3904</v>
      </c>
      <c r="H29" s="2"/>
    </row>
    <row r="30" spans="1:8" x14ac:dyDescent="0.25">
      <c r="A30" t="s">
        <v>1730</v>
      </c>
      <c r="B30" t="s">
        <v>4114</v>
      </c>
      <c r="C30" t="s">
        <v>6459</v>
      </c>
      <c r="D30">
        <v>-300</v>
      </c>
      <c r="E30">
        <v>300</v>
      </c>
      <c r="F30" t="s">
        <v>3868</v>
      </c>
      <c r="H30" s="2"/>
    </row>
    <row r="31" spans="1:8" x14ac:dyDescent="0.25">
      <c r="A31" t="s">
        <v>1732</v>
      </c>
      <c r="B31" t="s">
        <v>4118</v>
      </c>
      <c r="C31" t="s">
        <v>6460</v>
      </c>
      <c r="D31">
        <v>-300</v>
      </c>
      <c r="E31">
        <v>300</v>
      </c>
      <c r="F31" t="s">
        <v>3868</v>
      </c>
      <c r="H31" s="3">
        <v>13141</v>
      </c>
    </row>
    <row r="32" spans="1:8" x14ac:dyDescent="0.25">
      <c r="A32" t="s">
        <v>1734</v>
      </c>
      <c r="B32" t="s">
        <v>4129</v>
      </c>
      <c r="C32" t="s">
        <v>6461</v>
      </c>
      <c r="D32">
        <v>-300</v>
      </c>
      <c r="E32">
        <v>300</v>
      </c>
      <c r="F32" t="s">
        <v>3904</v>
      </c>
      <c r="H32" s="2"/>
    </row>
    <row r="33" spans="1:8" x14ac:dyDescent="0.25">
      <c r="A33" t="s">
        <v>1736</v>
      </c>
      <c r="B33" t="s">
        <v>4130</v>
      </c>
      <c r="C33" t="s">
        <v>6462</v>
      </c>
      <c r="D33">
        <v>-300</v>
      </c>
      <c r="E33">
        <v>300</v>
      </c>
      <c r="F33" t="s">
        <v>3868</v>
      </c>
      <c r="H33" s="2">
        <v>64</v>
      </c>
    </row>
    <row r="34" spans="1:8" x14ac:dyDescent="0.25">
      <c r="A34" t="s">
        <v>1738</v>
      </c>
      <c r="B34" t="s">
        <v>4139</v>
      </c>
      <c r="C34" t="s">
        <v>6463</v>
      </c>
      <c r="D34">
        <v>-300</v>
      </c>
      <c r="E34">
        <v>300</v>
      </c>
      <c r="F34" t="s">
        <v>3868</v>
      </c>
      <c r="H34" s="2">
        <v>87</v>
      </c>
    </row>
    <row r="35" spans="1:8" x14ac:dyDescent="0.25">
      <c r="A35" t="s">
        <v>1740</v>
      </c>
      <c r="B35" t="s">
        <v>4143</v>
      </c>
      <c r="C35" t="s">
        <v>6464</v>
      </c>
      <c r="D35">
        <v>-300</v>
      </c>
      <c r="E35">
        <v>300</v>
      </c>
      <c r="F35" t="s">
        <v>3868</v>
      </c>
      <c r="H35" s="2"/>
    </row>
    <row r="36" spans="1:8" x14ac:dyDescent="0.25">
      <c r="A36" t="s">
        <v>1742</v>
      </c>
      <c r="B36" t="s">
        <v>4149</v>
      </c>
      <c r="C36" t="s">
        <v>6465</v>
      </c>
      <c r="D36">
        <v>-300</v>
      </c>
      <c r="E36">
        <v>300</v>
      </c>
      <c r="F36" t="s">
        <v>3868</v>
      </c>
      <c r="H36" s="2">
        <v>54</v>
      </c>
    </row>
    <row r="37" spans="1:8" x14ac:dyDescent="0.25">
      <c r="A37" t="s">
        <v>1744</v>
      </c>
      <c r="B37" t="s">
        <v>4154</v>
      </c>
      <c r="C37" t="s">
        <v>6466</v>
      </c>
      <c r="D37">
        <v>-300</v>
      </c>
      <c r="E37">
        <v>300</v>
      </c>
      <c r="F37" t="s">
        <v>3868</v>
      </c>
      <c r="H37" s="2"/>
    </row>
    <row r="38" spans="1:8" x14ac:dyDescent="0.25">
      <c r="A38" t="s">
        <v>1746</v>
      </c>
      <c r="B38" t="s">
        <v>4160</v>
      </c>
      <c r="C38" t="s">
        <v>6467</v>
      </c>
      <c r="D38">
        <v>-300</v>
      </c>
      <c r="E38">
        <v>300</v>
      </c>
      <c r="F38" t="s">
        <v>3904</v>
      </c>
      <c r="H38" s="3">
        <v>105142</v>
      </c>
    </row>
    <row r="39" spans="1:8" x14ac:dyDescent="0.25">
      <c r="A39" t="s">
        <v>1748</v>
      </c>
      <c r="B39" t="s">
        <v>4161</v>
      </c>
      <c r="C39" t="s">
        <v>6468</v>
      </c>
      <c r="D39">
        <v>-300</v>
      </c>
      <c r="E39">
        <v>300</v>
      </c>
      <c r="F39" t="s">
        <v>3868</v>
      </c>
      <c r="H39" s="2"/>
    </row>
    <row r="40" spans="1:8" x14ac:dyDescent="0.25">
      <c r="A40" t="s">
        <v>1750</v>
      </c>
      <c r="B40" t="s">
        <v>4166</v>
      </c>
      <c r="C40" t="s">
        <v>6469</v>
      </c>
      <c r="D40">
        <v>-300</v>
      </c>
      <c r="E40">
        <v>300</v>
      </c>
      <c r="F40" t="s">
        <v>4097</v>
      </c>
      <c r="H40" s="2"/>
    </row>
    <row r="41" spans="1:8" x14ac:dyDescent="0.25">
      <c r="A41" t="s">
        <v>4167</v>
      </c>
      <c r="B41" t="s">
        <v>4168</v>
      </c>
      <c r="C41" t="s">
        <v>6470</v>
      </c>
      <c r="D41">
        <v>-300</v>
      </c>
      <c r="E41">
        <v>300</v>
      </c>
      <c r="F41" t="s">
        <v>4097</v>
      </c>
      <c r="H41" s="2"/>
    </row>
    <row r="42" spans="1:8" x14ac:dyDescent="0.25">
      <c r="A42" t="s">
        <v>1752</v>
      </c>
      <c r="B42" t="s">
        <v>4172</v>
      </c>
      <c r="C42" t="s">
        <v>6471</v>
      </c>
      <c r="D42">
        <v>-300</v>
      </c>
      <c r="E42">
        <v>300</v>
      </c>
      <c r="F42" t="s">
        <v>3868</v>
      </c>
      <c r="H42" s="2"/>
    </row>
    <row r="43" spans="1:8" x14ac:dyDescent="0.25">
      <c r="A43" t="s">
        <v>6472</v>
      </c>
      <c r="B43" t="s">
        <v>6473</v>
      </c>
      <c r="C43" t="s">
        <v>6471</v>
      </c>
      <c r="D43">
        <v>-300</v>
      </c>
      <c r="E43">
        <v>300</v>
      </c>
      <c r="F43" t="s">
        <v>3868</v>
      </c>
      <c r="H43" s="2">
        <v>75</v>
      </c>
    </row>
    <row r="44" spans="1:8" x14ac:dyDescent="0.25">
      <c r="A44" t="s">
        <v>1754</v>
      </c>
      <c r="B44" t="s">
        <v>4181</v>
      </c>
      <c r="C44" t="s">
        <v>6474</v>
      </c>
      <c r="D44">
        <v>-300</v>
      </c>
      <c r="E44">
        <v>300</v>
      </c>
      <c r="F44" t="s">
        <v>3868</v>
      </c>
      <c r="H44" s="2"/>
    </row>
    <row r="45" spans="1:8" x14ac:dyDescent="0.25">
      <c r="A45" t="s">
        <v>1756</v>
      </c>
      <c r="B45" t="s">
        <v>4184</v>
      </c>
      <c r="C45" t="s">
        <v>6475</v>
      </c>
      <c r="D45">
        <v>-300</v>
      </c>
      <c r="E45">
        <v>300</v>
      </c>
      <c r="F45" t="s">
        <v>3868</v>
      </c>
      <c r="H45" s="2"/>
    </row>
    <row r="46" spans="1:8" x14ac:dyDescent="0.25">
      <c r="A46" t="s">
        <v>1758</v>
      </c>
      <c r="B46" t="s">
        <v>4185</v>
      </c>
      <c r="C46" t="s">
        <v>6476</v>
      </c>
      <c r="D46">
        <v>-300</v>
      </c>
      <c r="E46">
        <v>300</v>
      </c>
      <c r="F46" t="s">
        <v>3868</v>
      </c>
      <c r="H46" s="2"/>
    </row>
    <row r="47" spans="1:8" x14ac:dyDescent="0.25">
      <c r="A47" t="s">
        <v>1760</v>
      </c>
      <c r="B47" t="s">
        <v>4199</v>
      </c>
      <c r="C47" t="s">
        <v>6477</v>
      </c>
      <c r="D47">
        <v>-300</v>
      </c>
      <c r="E47">
        <v>300</v>
      </c>
      <c r="F47" t="s">
        <v>3868</v>
      </c>
      <c r="H47" s="2"/>
    </row>
    <row r="48" spans="1:8" x14ac:dyDescent="0.25">
      <c r="A48" t="s">
        <v>1762</v>
      </c>
      <c r="B48" t="s">
        <v>4202</v>
      </c>
      <c r="C48" t="s">
        <v>6478</v>
      </c>
      <c r="D48">
        <v>-300</v>
      </c>
      <c r="E48">
        <v>300</v>
      </c>
      <c r="F48" t="s">
        <v>3868</v>
      </c>
      <c r="H48" s="2">
        <v>132</v>
      </c>
    </row>
    <row r="49" spans="1:8" x14ac:dyDescent="0.25">
      <c r="A49" t="s">
        <v>1764</v>
      </c>
      <c r="B49" t="s">
        <v>4211</v>
      </c>
      <c r="C49" t="s">
        <v>6479</v>
      </c>
      <c r="D49">
        <v>-300</v>
      </c>
      <c r="E49">
        <v>300</v>
      </c>
      <c r="F49" t="s">
        <v>3868</v>
      </c>
      <c r="H49" s="2"/>
    </row>
    <row r="50" spans="1:8" x14ac:dyDescent="0.25">
      <c r="A50" t="s">
        <v>1766</v>
      </c>
      <c r="B50" t="s">
        <v>4217</v>
      </c>
      <c r="C50" t="s">
        <v>6480</v>
      </c>
      <c r="D50">
        <v>-300</v>
      </c>
      <c r="E50">
        <v>300</v>
      </c>
      <c r="F50" t="s">
        <v>3868</v>
      </c>
      <c r="H50" s="2"/>
    </row>
    <row r="51" spans="1:8" x14ac:dyDescent="0.25">
      <c r="A51" t="s">
        <v>1768</v>
      </c>
      <c r="B51" t="s">
        <v>4248</v>
      </c>
      <c r="C51" t="s">
        <v>6481</v>
      </c>
      <c r="D51">
        <v>-300</v>
      </c>
      <c r="E51">
        <v>300</v>
      </c>
      <c r="F51" t="s">
        <v>3868</v>
      </c>
      <c r="H51" s="2"/>
    </row>
    <row r="52" spans="1:8" x14ac:dyDescent="0.25">
      <c r="A52" t="s">
        <v>1770</v>
      </c>
      <c r="B52" t="s">
        <v>4253</v>
      </c>
      <c r="C52" t="s">
        <v>6482</v>
      </c>
      <c r="D52">
        <v>-300</v>
      </c>
      <c r="E52">
        <v>300</v>
      </c>
      <c r="F52" t="s">
        <v>3868</v>
      </c>
      <c r="H52" s="2">
        <v>76</v>
      </c>
    </row>
    <row r="53" spans="1:8" x14ac:dyDescent="0.25">
      <c r="A53" t="s">
        <v>1772</v>
      </c>
      <c r="B53" t="s">
        <v>4259</v>
      </c>
      <c r="C53" t="s">
        <v>6483</v>
      </c>
      <c r="D53">
        <v>-300</v>
      </c>
      <c r="E53">
        <v>300</v>
      </c>
      <c r="F53" t="s">
        <v>4097</v>
      </c>
      <c r="H53" s="2">
        <v>39</v>
      </c>
    </row>
    <row r="54" spans="1:8" x14ac:dyDescent="0.25">
      <c r="A54" t="s">
        <v>1774</v>
      </c>
      <c r="B54" t="s">
        <v>4260</v>
      </c>
      <c r="C54" t="s">
        <v>6484</v>
      </c>
      <c r="D54">
        <v>-300</v>
      </c>
      <c r="E54">
        <v>300</v>
      </c>
      <c r="F54" t="s">
        <v>4097</v>
      </c>
      <c r="H54" s="2">
        <v>39</v>
      </c>
    </row>
    <row r="55" spans="1:8" x14ac:dyDescent="0.25">
      <c r="A55" t="s">
        <v>1776</v>
      </c>
      <c r="B55" t="s">
        <v>4270</v>
      </c>
      <c r="C55" t="s">
        <v>6485</v>
      </c>
      <c r="D55">
        <v>-300</v>
      </c>
      <c r="E55">
        <v>300</v>
      </c>
      <c r="F55" t="s">
        <v>3868</v>
      </c>
      <c r="H55" s="2"/>
    </row>
    <row r="56" spans="1:8" x14ac:dyDescent="0.25">
      <c r="A56" t="s">
        <v>1778</v>
      </c>
      <c r="B56" t="s">
        <v>4275</v>
      </c>
      <c r="C56" t="s">
        <v>6486</v>
      </c>
      <c r="D56">
        <v>-300</v>
      </c>
      <c r="E56">
        <v>300</v>
      </c>
      <c r="F56" t="s">
        <v>3868</v>
      </c>
      <c r="H56" s="2"/>
    </row>
    <row r="57" spans="1:8" x14ac:dyDescent="0.25">
      <c r="A57" t="s">
        <v>1780</v>
      </c>
      <c r="B57" t="s">
        <v>4296</v>
      </c>
      <c r="C57" t="s">
        <v>6487</v>
      </c>
      <c r="D57">
        <v>-300</v>
      </c>
      <c r="E57">
        <v>300</v>
      </c>
      <c r="F57" t="s">
        <v>3868</v>
      </c>
      <c r="H57" s="2"/>
    </row>
    <row r="58" spans="1:8" x14ac:dyDescent="0.25">
      <c r="A58" t="s">
        <v>1782</v>
      </c>
      <c r="B58" t="s">
        <v>4314</v>
      </c>
      <c r="C58" t="s">
        <v>6488</v>
      </c>
      <c r="D58">
        <v>-300</v>
      </c>
      <c r="E58">
        <v>300</v>
      </c>
      <c r="F58" t="s">
        <v>4097</v>
      </c>
      <c r="G58" t="s">
        <v>6489</v>
      </c>
      <c r="H58" s="2"/>
    </row>
    <row r="59" spans="1:8" x14ac:dyDescent="0.25">
      <c r="A59" t="s">
        <v>1784</v>
      </c>
      <c r="B59" t="s">
        <v>4315</v>
      </c>
      <c r="C59" t="s">
        <v>6490</v>
      </c>
      <c r="D59">
        <v>-300</v>
      </c>
      <c r="E59">
        <v>300</v>
      </c>
      <c r="F59" t="s">
        <v>4097</v>
      </c>
      <c r="G59" t="s">
        <v>6489</v>
      </c>
      <c r="H59" s="2"/>
    </row>
    <row r="60" spans="1:8" x14ac:dyDescent="0.25">
      <c r="A60" t="s">
        <v>1786</v>
      </c>
      <c r="B60" t="s">
        <v>4316</v>
      </c>
      <c r="C60" t="s">
        <v>6491</v>
      </c>
      <c r="D60">
        <v>-300</v>
      </c>
      <c r="E60">
        <v>300</v>
      </c>
      <c r="F60" t="s">
        <v>3868</v>
      </c>
      <c r="H60" s="2">
        <v>56</v>
      </c>
    </row>
    <row r="61" spans="1:8" x14ac:dyDescent="0.25">
      <c r="A61" t="s">
        <v>1788</v>
      </c>
      <c r="B61" t="s">
        <v>4322</v>
      </c>
      <c r="C61" t="s">
        <v>6492</v>
      </c>
      <c r="D61">
        <v>-300</v>
      </c>
      <c r="E61">
        <v>300</v>
      </c>
      <c r="F61" t="s">
        <v>3868</v>
      </c>
      <c r="H61" s="2"/>
    </row>
    <row r="62" spans="1:8" x14ac:dyDescent="0.25">
      <c r="A62" t="s">
        <v>1790</v>
      </c>
      <c r="B62" t="s">
        <v>4327</v>
      </c>
      <c r="C62" t="s">
        <v>6493</v>
      </c>
      <c r="D62">
        <v>-300</v>
      </c>
      <c r="E62">
        <v>300</v>
      </c>
      <c r="F62" t="s">
        <v>3868</v>
      </c>
      <c r="H62" s="2"/>
    </row>
    <row r="63" spans="1:8" x14ac:dyDescent="0.25">
      <c r="A63" t="s">
        <v>1792</v>
      </c>
      <c r="B63" t="s">
        <v>4328</v>
      </c>
      <c r="C63" t="s">
        <v>6494</v>
      </c>
      <c r="D63">
        <v>-300</v>
      </c>
      <c r="E63">
        <v>300</v>
      </c>
      <c r="F63" t="s">
        <v>3868</v>
      </c>
      <c r="H63" s="2">
        <v>132</v>
      </c>
    </row>
    <row r="64" spans="1:8" x14ac:dyDescent="0.25">
      <c r="A64" t="s">
        <v>1794</v>
      </c>
      <c r="B64" t="s">
        <v>4332</v>
      </c>
      <c r="C64" t="s">
        <v>6495</v>
      </c>
      <c r="D64">
        <v>-300</v>
      </c>
      <c r="E64">
        <v>300</v>
      </c>
      <c r="F64" t="s">
        <v>3868</v>
      </c>
      <c r="H64" s="2">
        <v>135</v>
      </c>
    </row>
    <row r="65" spans="1:8" x14ac:dyDescent="0.25">
      <c r="A65" t="s">
        <v>1796</v>
      </c>
      <c r="B65" t="s">
        <v>4333</v>
      </c>
      <c r="C65" t="s">
        <v>6496</v>
      </c>
      <c r="D65">
        <v>-300</v>
      </c>
      <c r="E65">
        <v>300</v>
      </c>
      <c r="F65" t="s">
        <v>3868</v>
      </c>
      <c r="H65" s="2"/>
    </row>
    <row r="66" spans="1:8" x14ac:dyDescent="0.25">
      <c r="A66" t="s">
        <v>1798</v>
      </c>
      <c r="B66" t="s">
        <v>4336</v>
      </c>
      <c r="C66" t="s">
        <v>6497</v>
      </c>
      <c r="D66">
        <v>-300</v>
      </c>
      <c r="E66">
        <v>300</v>
      </c>
      <c r="F66" t="s">
        <v>3868</v>
      </c>
      <c r="H66" s="2">
        <v>53</v>
      </c>
    </row>
    <row r="67" spans="1:8" x14ac:dyDescent="0.25">
      <c r="A67" t="s">
        <v>4337</v>
      </c>
      <c r="B67" t="s">
        <v>4338</v>
      </c>
      <c r="C67" t="s">
        <v>5266</v>
      </c>
      <c r="D67">
        <v>-300</v>
      </c>
      <c r="E67">
        <v>300</v>
      </c>
      <c r="F67" t="s">
        <v>3868</v>
      </c>
      <c r="H67" s="2" t="s">
        <v>6498</v>
      </c>
    </row>
    <row r="68" spans="1:8" x14ac:dyDescent="0.25">
      <c r="A68" t="s">
        <v>1800</v>
      </c>
      <c r="B68" t="s">
        <v>4360</v>
      </c>
      <c r="C68" t="s">
        <v>6499</v>
      </c>
      <c r="D68">
        <v>-300</v>
      </c>
      <c r="E68">
        <v>300</v>
      </c>
      <c r="F68" t="s">
        <v>3868</v>
      </c>
      <c r="H68" s="2">
        <v>135</v>
      </c>
    </row>
    <row r="69" spans="1:8" x14ac:dyDescent="0.25">
      <c r="A69" t="s">
        <v>1802</v>
      </c>
      <c r="B69" t="s">
        <v>4361</v>
      </c>
      <c r="C69" t="s">
        <v>6500</v>
      </c>
      <c r="D69">
        <v>-300</v>
      </c>
      <c r="E69">
        <v>300</v>
      </c>
      <c r="F69" t="s">
        <v>3868</v>
      </c>
      <c r="H69" s="2"/>
    </row>
    <row r="70" spans="1:8" x14ac:dyDescent="0.25">
      <c r="A70" t="s">
        <v>1804</v>
      </c>
      <c r="B70" t="s">
        <v>4366</v>
      </c>
      <c r="C70" t="s">
        <v>6501</v>
      </c>
      <c r="D70">
        <v>-300</v>
      </c>
      <c r="E70">
        <v>300</v>
      </c>
      <c r="F70" t="s">
        <v>3868</v>
      </c>
      <c r="H70" s="3">
        <v>132142</v>
      </c>
    </row>
    <row r="71" spans="1:8" x14ac:dyDescent="0.25">
      <c r="A71" t="s">
        <v>1806</v>
      </c>
      <c r="B71" t="s">
        <v>4367</v>
      </c>
      <c r="C71" t="s">
        <v>6502</v>
      </c>
      <c r="D71">
        <v>-300</v>
      </c>
      <c r="E71">
        <v>300</v>
      </c>
      <c r="F71" t="s">
        <v>3904</v>
      </c>
      <c r="H71" s="2"/>
    </row>
    <row r="72" spans="1:8" x14ac:dyDescent="0.25">
      <c r="A72" t="s">
        <v>1808</v>
      </c>
      <c r="B72" t="s">
        <v>4372</v>
      </c>
      <c r="C72" t="s">
        <v>6503</v>
      </c>
      <c r="D72">
        <v>-300</v>
      </c>
      <c r="E72">
        <v>300</v>
      </c>
      <c r="F72" t="s">
        <v>3868</v>
      </c>
      <c r="H72" s="2"/>
    </row>
    <row r="73" spans="1:8" x14ac:dyDescent="0.25">
      <c r="A73" t="s">
        <v>1810</v>
      </c>
      <c r="B73" t="s">
        <v>4373</v>
      </c>
      <c r="C73" t="s">
        <v>6504</v>
      </c>
      <c r="D73">
        <v>-300</v>
      </c>
      <c r="E73">
        <v>300</v>
      </c>
      <c r="F73" t="s">
        <v>3868</v>
      </c>
      <c r="H73" s="2"/>
    </row>
    <row r="74" spans="1:8" x14ac:dyDescent="0.25">
      <c r="A74" t="s">
        <v>4376</v>
      </c>
      <c r="B74" t="s">
        <v>4377</v>
      </c>
      <c r="C74" t="s">
        <v>5267</v>
      </c>
      <c r="D74">
        <v>-300</v>
      </c>
      <c r="E74">
        <v>300</v>
      </c>
      <c r="F74" t="s">
        <v>3884</v>
      </c>
      <c r="G74" t="s">
        <v>4375</v>
      </c>
      <c r="H74" s="2"/>
    </row>
    <row r="75" spans="1:8" x14ac:dyDescent="0.25">
      <c r="A75" t="s">
        <v>1812</v>
      </c>
      <c r="B75" t="s">
        <v>4378</v>
      </c>
      <c r="C75" t="s">
        <v>6505</v>
      </c>
      <c r="D75">
        <v>-300</v>
      </c>
      <c r="E75">
        <v>300</v>
      </c>
      <c r="F75" t="s">
        <v>3868</v>
      </c>
      <c r="H75" s="2">
        <v>132</v>
      </c>
    </row>
    <row r="76" spans="1:8" x14ac:dyDescent="0.25">
      <c r="A76" t="s">
        <v>1814</v>
      </c>
      <c r="B76" t="s">
        <v>4379</v>
      </c>
      <c r="C76" t="s">
        <v>6506</v>
      </c>
      <c r="D76">
        <v>-300</v>
      </c>
      <c r="E76">
        <v>300</v>
      </c>
      <c r="F76" t="s">
        <v>3868</v>
      </c>
      <c r="H76" s="2">
        <v>132</v>
      </c>
    </row>
    <row r="77" spans="1:8" x14ac:dyDescent="0.25">
      <c r="A77" t="s">
        <v>1816</v>
      </c>
      <c r="B77" t="s">
        <v>4395</v>
      </c>
      <c r="C77" t="s">
        <v>5268</v>
      </c>
      <c r="D77">
        <v>-300</v>
      </c>
      <c r="E77">
        <v>300</v>
      </c>
      <c r="F77" t="s">
        <v>4097</v>
      </c>
      <c r="H77" s="2">
        <v>140</v>
      </c>
    </row>
    <row r="78" spans="1:8" x14ac:dyDescent="0.25">
      <c r="A78" t="s">
        <v>1818</v>
      </c>
      <c r="B78" t="s">
        <v>4396</v>
      </c>
      <c r="C78" t="s">
        <v>6507</v>
      </c>
      <c r="D78">
        <v>-300</v>
      </c>
      <c r="E78">
        <v>300</v>
      </c>
      <c r="F78" t="s">
        <v>3868</v>
      </c>
      <c r="H78" s="2">
        <v>5</v>
      </c>
    </row>
    <row r="79" spans="1:8" x14ac:dyDescent="0.25">
      <c r="A79" t="s">
        <v>1820</v>
      </c>
      <c r="B79" t="s">
        <v>4399</v>
      </c>
      <c r="C79" t="s">
        <v>6508</v>
      </c>
      <c r="D79">
        <v>-300</v>
      </c>
      <c r="E79">
        <v>300</v>
      </c>
      <c r="F79" t="s">
        <v>3868</v>
      </c>
      <c r="H79" s="3">
        <v>132139</v>
      </c>
    </row>
    <row r="80" spans="1:8" x14ac:dyDescent="0.25">
      <c r="A80" t="s">
        <v>1822</v>
      </c>
      <c r="B80" t="s">
        <v>4404</v>
      </c>
      <c r="C80" t="s">
        <v>6509</v>
      </c>
      <c r="D80">
        <v>-300</v>
      </c>
      <c r="E80">
        <v>300</v>
      </c>
      <c r="F80" t="s">
        <v>3904</v>
      </c>
      <c r="H80" s="2"/>
    </row>
    <row r="81" spans="1:8" x14ac:dyDescent="0.25">
      <c r="A81" t="s">
        <v>1824</v>
      </c>
      <c r="B81" t="s">
        <v>4407</v>
      </c>
      <c r="C81" t="s">
        <v>6510</v>
      </c>
      <c r="D81">
        <v>-300</v>
      </c>
      <c r="E81">
        <v>300</v>
      </c>
      <c r="F81" t="s">
        <v>3868</v>
      </c>
      <c r="H81" s="2"/>
    </row>
    <row r="82" spans="1:8" x14ac:dyDescent="0.25">
      <c r="A82" t="s">
        <v>1826</v>
      </c>
      <c r="B82" t="s">
        <v>4408</v>
      </c>
      <c r="C82" t="s">
        <v>6511</v>
      </c>
      <c r="D82">
        <v>-300</v>
      </c>
      <c r="E82">
        <v>300</v>
      </c>
      <c r="F82" t="s">
        <v>3868</v>
      </c>
      <c r="H82" s="2">
        <v>132</v>
      </c>
    </row>
    <row r="83" spans="1:8" x14ac:dyDescent="0.25">
      <c r="A83" t="s">
        <v>1828</v>
      </c>
      <c r="B83" t="s">
        <v>4411</v>
      </c>
      <c r="C83" t="s">
        <v>6512</v>
      </c>
      <c r="D83">
        <v>-300</v>
      </c>
      <c r="E83">
        <v>300</v>
      </c>
      <c r="F83" t="s">
        <v>3868</v>
      </c>
      <c r="H83" s="2"/>
    </row>
    <row r="84" spans="1:8" x14ac:dyDescent="0.25">
      <c r="A84" t="s">
        <v>1830</v>
      </c>
      <c r="B84" t="s">
        <v>4418</v>
      </c>
      <c r="C84" t="s">
        <v>6513</v>
      </c>
      <c r="D84">
        <v>-300</v>
      </c>
      <c r="E84">
        <v>300</v>
      </c>
      <c r="F84" t="s">
        <v>3868</v>
      </c>
      <c r="H84" s="2"/>
    </row>
    <row r="85" spans="1:8" x14ac:dyDescent="0.25">
      <c r="A85" t="s">
        <v>1832</v>
      </c>
      <c r="B85" t="s">
        <v>4419</v>
      </c>
      <c r="C85" t="s">
        <v>6514</v>
      </c>
      <c r="D85">
        <v>-300</v>
      </c>
      <c r="E85">
        <v>300</v>
      </c>
      <c r="F85" t="s">
        <v>3904</v>
      </c>
      <c r="H85" s="2"/>
    </row>
    <row r="86" spans="1:8" x14ac:dyDescent="0.25">
      <c r="A86" t="s">
        <v>1834</v>
      </c>
      <c r="B86" t="s">
        <v>4434</v>
      </c>
      <c r="C86" t="s">
        <v>6515</v>
      </c>
      <c r="D86">
        <v>-300</v>
      </c>
      <c r="E86">
        <v>300</v>
      </c>
      <c r="F86" t="s">
        <v>3868</v>
      </c>
      <c r="H86" s="2"/>
    </row>
    <row r="87" spans="1:8" x14ac:dyDescent="0.25">
      <c r="A87" t="s">
        <v>1836</v>
      </c>
      <c r="B87" t="s">
        <v>4435</v>
      </c>
      <c r="C87" t="s">
        <v>6516</v>
      </c>
      <c r="D87">
        <v>-300</v>
      </c>
      <c r="E87">
        <v>300</v>
      </c>
      <c r="F87" t="s">
        <v>3868</v>
      </c>
      <c r="H87" s="2"/>
    </row>
    <row r="88" spans="1:8" x14ac:dyDescent="0.25">
      <c r="A88" t="s">
        <v>1838</v>
      </c>
      <c r="B88" t="s">
        <v>4442</v>
      </c>
      <c r="C88" t="s">
        <v>6517</v>
      </c>
      <c r="D88">
        <v>-300</v>
      </c>
      <c r="E88">
        <v>300</v>
      </c>
      <c r="F88" t="s">
        <v>3868</v>
      </c>
      <c r="H88" s="2">
        <v>46</v>
      </c>
    </row>
    <row r="89" spans="1:8" x14ac:dyDescent="0.25">
      <c r="A89" t="s">
        <v>1840</v>
      </c>
      <c r="B89" t="s">
        <v>4445</v>
      </c>
      <c r="C89" t="s">
        <v>6518</v>
      </c>
      <c r="D89">
        <v>-300</v>
      </c>
      <c r="E89">
        <v>300</v>
      </c>
      <c r="F89" t="s">
        <v>3904</v>
      </c>
      <c r="H89" s="2"/>
    </row>
    <row r="90" spans="1:8" x14ac:dyDescent="0.25">
      <c r="A90" t="s">
        <v>1842</v>
      </c>
      <c r="B90" t="s">
        <v>4446</v>
      </c>
      <c r="C90" t="s">
        <v>6519</v>
      </c>
      <c r="D90">
        <v>-300</v>
      </c>
      <c r="E90">
        <v>300</v>
      </c>
      <c r="F90" t="s">
        <v>3904</v>
      </c>
      <c r="H90" s="2"/>
    </row>
    <row r="91" spans="1:8" x14ac:dyDescent="0.25">
      <c r="A91" t="s">
        <v>1844</v>
      </c>
      <c r="B91" t="s">
        <v>4447</v>
      </c>
      <c r="C91" t="s">
        <v>6520</v>
      </c>
      <c r="D91">
        <v>-300</v>
      </c>
      <c r="E91">
        <v>300</v>
      </c>
      <c r="F91" t="s">
        <v>3868</v>
      </c>
      <c r="H91" s="2">
        <v>142</v>
      </c>
    </row>
    <row r="92" spans="1:8" x14ac:dyDescent="0.25">
      <c r="A92" t="s">
        <v>1846</v>
      </c>
      <c r="B92" t="s">
        <v>4448</v>
      </c>
      <c r="C92" t="s">
        <v>6521</v>
      </c>
      <c r="D92">
        <v>-300</v>
      </c>
      <c r="E92">
        <v>300</v>
      </c>
      <c r="F92" t="s">
        <v>3868</v>
      </c>
      <c r="H92" s="2"/>
    </row>
    <row r="93" spans="1:8" x14ac:dyDescent="0.25">
      <c r="A93" t="s">
        <v>1848</v>
      </c>
      <c r="B93" t="s">
        <v>4456</v>
      </c>
      <c r="C93" t="s">
        <v>6522</v>
      </c>
      <c r="D93">
        <v>-300</v>
      </c>
      <c r="E93">
        <v>300</v>
      </c>
      <c r="F93" t="s">
        <v>3868</v>
      </c>
      <c r="H93" s="2">
        <v>76</v>
      </c>
    </row>
    <row r="94" spans="1:8" x14ac:dyDescent="0.25">
      <c r="A94" t="s">
        <v>1850</v>
      </c>
      <c r="B94" t="s">
        <v>4457</v>
      </c>
      <c r="C94" t="s">
        <v>6523</v>
      </c>
      <c r="D94">
        <v>-300</v>
      </c>
      <c r="E94">
        <v>300</v>
      </c>
      <c r="F94" t="s">
        <v>3868</v>
      </c>
      <c r="H94" s="2">
        <v>46</v>
      </c>
    </row>
    <row r="95" spans="1:8" x14ac:dyDescent="0.25">
      <c r="A95" t="s">
        <v>1852</v>
      </c>
      <c r="B95" t="s">
        <v>4465</v>
      </c>
      <c r="C95" t="s">
        <v>6524</v>
      </c>
      <c r="D95">
        <v>-300</v>
      </c>
      <c r="E95">
        <v>300</v>
      </c>
      <c r="F95" t="s">
        <v>3868</v>
      </c>
      <c r="H95" s="2"/>
    </row>
    <row r="96" spans="1:8" x14ac:dyDescent="0.25">
      <c r="A96" t="s">
        <v>1854</v>
      </c>
      <c r="B96" t="s">
        <v>4490</v>
      </c>
      <c r="C96" t="s">
        <v>6525</v>
      </c>
      <c r="D96">
        <v>-300</v>
      </c>
      <c r="E96">
        <v>300</v>
      </c>
      <c r="F96" t="s">
        <v>3868</v>
      </c>
      <c r="H96" s="2"/>
    </row>
    <row r="97" spans="1:8" x14ac:dyDescent="0.25">
      <c r="A97" t="s">
        <v>1856</v>
      </c>
      <c r="B97" t="s">
        <v>4505</v>
      </c>
      <c r="C97" t="s">
        <v>6526</v>
      </c>
      <c r="D97">
        <v>-300</v>
      </c>
      <c r="E97">
        <v>300</v>
      </c>
      <c r="F97" t="s">
        <v>3868</v>
      </c>
      <c r="H97" s="2"/>
    </row>
    <row r="98" spans="1:8" x14ac:dyDescent="0.25">
      <c r="A98" t="s">
        <v>6527</v>
      </c>
      <c r="B98" t="s">
        <v>6528</v>
      </c>
      <c r="C98" t="s">
        <v>6529</v>
      </c>
      <c r="D98">
        <v>-300</v>
      </c>
      <c r="E98">
        <v>300</v>
      </c>
      <c r="F98" t="s">
        <v>3904</v>
      </c>
      <c r="H98" s="2"/>
    </row>
    <row r="99" spans="1:8" x14ac:dyDescent="0.25">
      <c r="A99" t="s">
        <v>1858</v>
      </c>
      <c r="B99" t="s">
        <v>4509</v>
      </c>
      <c r="C99" t="s">
        <v>6530</v>
      </c>
      <c r="D99">
        <v>-300</v>
      </c>
      <c r="E99">
        <v>300</v>
      </c>
      <c r="F99" t="s">
        <v>3868</v>
      </c>
      <c r="H99" s="2"/>
    </row>
    <row r="100" spans="1:8" x14ac:dyDescent="0.25">
      <c r="A100" t="s">
        <v>1860</v>
      </c>
      <c r="B100" t="s">
        <v>4511</v>
      </c>
      <c r="C100" t="s">
        <v>6531</v>
      </c>
      <c r="D100">
        <v>-300</v>
      </c>
      <c r="E100">
        <v>300</v>
      </c>
      <c r="F100" t="s">
        <v>3904</v>
      </c>
      <c r="H100" s="2">
        <v>25</v>
      </c>
    </row>
    <row r="101" spans="1:8" x14ac:dyDescent="0.25">
      <c r="A101" t="s">
        <v>6532</v>
      </c>
      <c r="B101" t="s">
        <v>6533</v>
      </c>
      <c r="C101" t="s">
        <v>6534</v>
      </c>
      <c r="D101">
        <v>-300</v>
      </c>
      <c r="E101">
        <v>300</v>
      </c>
      <c r="F101" t="s">
        <v>3936</v>
      </c>
      <c r="H101" s="2"/>
    </row>
    <row r="102" spans="1:8" x14ac:dyDescent="0.25">
      <c r="A102" t="s">
        <v>1862</v>
      </c>
      <c r="B102" t="s">
        <v>4512</v>
      </c>
      <c r="C102" t="s">
        <v>6535</v>
      </c>
      <c r="D102">
        <v>-300</v>
      </c>
      <c r="E102">
        <v>300</v>
      </c>
      <c r="F102" t="s">
        <v>3868</v>
      </c>
      <c r="H102" s="2">
        <v>4</v>
      </c>
    </row>
    <row r="103" spans="1:8" x14ac:dyDescent="0.25">
      <c r="A103" t="s">
        <v>1864</v>
      </c>
      <c r="B103" t="s">
        <v>4518</v>
      </c>
      <c r="C103" t="s">
        <v>6536</v>
      </c>
      <c r="D103">
        <v>-300</v>
      </c>
      <c r="E103">
        <v>300</v>
      </c>
      <c r="F103" t="s">
        <v>3868</v>
      </c>
      <c r="H103" s="2"/>
    </row>
    <row r="104" spans="1:8" x14ac:dyDescent="0.25">
      <c r="A104" t="s">
        <v>1866</v>
      </c>
      <c r="B104" t="s">
        <v>4519</v>
      </c>
      <c r="C104" t="s">
        <v>6537</v>
      </c>
      <c r="D104">
        <v>-300</v>
      </c>
      <c r="E104">
        <v>300</v>
      </c>
      <c r="F104" t="s">
        <v>3868</v>
      </c>
      <c r="H104" s="2">
        <v>134</v>
      </c>
    </row>
    <row r="105" spans="1:8" x14ac:dyDescent="0.25">
      <c r="A105" t="s">
        <v>1868</v>
      </c>
      <c r="B105" t="s">
        <v>4536</v>
      </c>
      <c r="C105" t="s">
        <v>6538</v>
      </c>
      <c r="D105">
        <v>-300</v>
      </c>
      <c r="E105">
        <v>300</v>
      </c>
      <c r="F105" t="s">
        <v>3904</v>
      </c>
      <c r="H105" s="2">
        <v>25</v>
      </c>
    </row>
    <row r="106" spans="1:8" x14ac:dyDescent="0.25">
      <c r="A106" t="s">
        <v>1870</v>
      </c>
      <c r="B106" t="s">
        <v>4551</v>
      </c>
      <c r="C106" t="s">
        <v>6539</v>
      </c>
      <c r="D106">
        <v>-300</v>
      </c>
      <c r="E106">
        <v>300</v>
      </c>
      <c r="F106" t="s">
        <v>4097</v>
      </c>
      <c r="G106" t="s">
        <v>6540</v>
      </c>
      <c r="H106" s="2"/>
    </row>
    <row r="107" spans="1:8" x14ac:dyDescent="0.25">
      <c r="A107" t="s">
        <v>1872</v>
      </c>
      <c r="B107" t="s">
        <v>4552</v>
      </c>
      <c r="C107" t="s">
        <v>6541</v>
      </c>
      <c r="D107">
        <v>-300</v>
      </c>
      <c r="E107">
        <v>300</v>
      </c>
      <c r="F107" t="s">
        <v>4097</v>
      </c>
      <c r="G107" t="s">
        <v>6540</v>
      </c>
      <c r="H107" s="2"/>
    </row>
    <row r="108" spans="1:8" x14ac:dyDescent="0.25">
      <c r="A108" t="s">
        <v>1874</v>
      </c>
      <c r="B108" t="s">
        <v>4553</v>
      </c>
      <c r="C108" t="s">
        <v>6542</v>
      </c>
      <c r="D108">
        <v>-300</v>
      </c>
      <c r="E108">
        <v>300</v>
      </c>
      <c r="F108" t="s">
        <v>4097</v>
      </c>
      <c r="G108" t="s">
        <v>6540</v>
      </c>
      <c r="H108" s="2"/>
    </row>
    <row r="109" spans="1:8" x14ac:dyDescent="0.25">
      <c r="A109" t="s">
        <v>1876</v>
      </c>
      <c r="B109" t="s">
        <v>4555</v>
      </c>
      <c r="C109" t="s">
        <v>6543</v>
      </c>
      <c r="D109">
        <v>-300</v>
      </c>
      <c r="E109">
        <v>300</v>
      </c>
      <c r="F109" t="s">
        <v>3868</v>
      </c>
      <c r="H109" s="2"/>
    </row>
    <row r="110" spans="1:8" x14ac:dyDescent="0.25">
      <c r="A110" t="s">
        <v>1878</v>
      </c>
      <c r="B110" t="s">
        <v>4566</v>
      </c>
      <c r="C110" t="s">
        <v>6544</v>
      </c>
      <c r="D110">
        <v>-300</v>
      </c>
      <c r="E110">
        <v>300</v>
      </c>
      <c r="F110" t="s">
        <v>3868</v>
      </c>
      <c r="H110" s="2">
        <v>5</v>
      </c>
    </row>
    <row r="111" spans="1:8" x14ac:dyDescent="0.25">
      <c r="A111" t="s">
        <v>1880</v>
      </c>
      <c r="B111" t="s">
        <v>4572</v>
      </c>
      <c r="C111" t="s">
        <v>6545</v>
      </c>
      <c r="D111">
        <v>-300</v>
      </c>
      <c r="E111">
        <v>300</v>
      </c>
      <c r="F111" t="s">
        <v>3868</v>
      </c>
      <c r="H111" s="2"/>
    </row>
    <row r="112" spans="1:8" x14ac:dyDescent="0.25">
      <c r="A112" t="s">
        <v>1882</v>
      </c>
      <c r="B112" t="s">
        <v>4573</v>
      </c>
      <c r="C112" t="s">
        <v>6546</v>
      </c>
      <c r="D112">
        <v>-300</v>
      </c>
      <c r="E112">
        <v>300</v>
      </c>
      <c r="F112" t="s">
        <v>3868</v>
      </c>
      <c r="H112" s="2"/>
    </row>
    <row r="113" spans="1:8" x14ac:dyDescent="0.25">
      <c r="A113" t="s">
        <v>1884</v>
      </c>
      <c r="B113" t="s">
        <v>4580</v>
      </c>
      <c r="C113" t="s">
        <v>6547</v>
      </c>
      <c r="D113">
        <v>-300</v>
      </c>
      <c r="E113">
        <v>300</v>
      </c>
      <c r="F113" t="s">
        <v>3868</v>
      </c>
      <c r="H113" s="2" t="s">
        <v>6548</v>
      </c>
    </row>
    <row r="114" spans="1:8" x14ac:dyDescent="0.25">
      <c r="A114" t="s">
        <v>1886</v>
      </c>
      <c r="B114" t="s">
        <v>4583</v>
      </c>
      <c r="C114" t="s">
        <v>5269</v>
      </c>
      <c r="D114">
        <v>-300</v>
      </c>
      <c r="E114">
        <v>300</v>
      </c>
      <c r="F114" t="s">
        <v>3868</v>
      </c>
      <c r="H114" s="2"/>
    </row>
    <row r="115" spans="1:8" x14ac:dyDescent="0.25">
      <c r="A115" t="s">
        <v>4584</v>
      </c>
      <c r="B115" t="s">
        <v>4585</v>
      </c>
      <c r="C115" t="s">
        <v>5269</v>
      </c>
      <c r="D115">
        <v>-300</v>
      </c>
      <c r="E115">
        <v>300</v>
      </c>
      <c r="F115" t="s">
        <v>3868</v>
      </c>
      <c r="H115" s="2">
        <v>75</v>
      </c>
    </row>
    <row r="116" spans="1:8" x14ac:dyDescent="0.25">
      <c r="A116" t="s">
        <v>1888</v>
      </c>
      <c r="B116" t="s">
        <v>4596</v>
      </c>
      <c r="C116" t="s">
        <v>6549</v>
      </c>
      <c r="D116">
        <v>-300</v>
      </c>
      <c r="E116">
        <v>300</v>
      </c>
      <c r="F116" t="s">
        <v>3868</v>
      </c>
      <c r="H116" s="2"/>
    </row>
    <row r="117" spans="1:8" x14ac:dyDescent="0.25">
      <c r="A117" t="s">
        <v>1890</v>
      </c>
      <c r="B117" t="s">
        <v>4609</v>
      </c>
      <c r="C117" t="s">
        <v>6550</v>
      </c>
      <c r="D117">
        <v>-300</v>
      </c>
      <c r="E117">
        <v>300</v>
      </c>
      <c r="F117" t="s">
        <v>3868</v>
      </c>
      <c r="H117" s="2"/>
    </row>
    <row r="118" spans="1:8" x14ac:dyDescent="0.25">
      <c r="A118" t="s">
        <v>4614</v>
      </c>
      <c r="B118" t="s">
        <v>4612</v>
      </c>
      <c r="C118" t="s">
        <v>5270</v>
      </c>
      <c r="D118">
        <v>-300</v>
      </c>
      <c r="E118">
        <v>300</v>
      </c>
      <c r="F118" t="s">
        <v>3870</v>
      </c>
      <c r="G118" t="s">
        <v>4613</v>
      </c>
      <c r="H118" s="2"/>
    </row>
    <row r="119" spans="1:8" x14ac:dyDescent="0.25">
      <c r="A119" t="s">
        <v>1892</v>
      </c>
      <c r="B119" t="s">
        <v>4617</v>
      </c>
      <c r="C119" t="s">
        <v>6551</v>
      </c>
      <c r="D119">
        <v>-300</v>
      </c>
      <c r="E119">
        <v>300</v>
      </c>
      <c r="F119" t="s">
        <v>3868</v>
      </c>
      <c r="H119" s="2"/>
    </row>
    <row r="120" spans="1:8" x14ac:dyDescent="0.25">
      <c r="A120" t="s">
        <v>1894</v>
      </c>
      <c r="B120" t="s">
        <v>4621</v>
      </c>
      <c r="C120" t="s">
        <v>6552</v>
      </c>
      <c r="D120">
        <v>-300</v>
      </c>
      <c r="E120">
        <v>300</v>
      </c>
      <c r="F120" t="s">
        <v>3868</v>
      </c>
      <c r="H120" s="2"/>
    </row>
    <row r="121" spans="1:8" x14ac:dyDescent="0.25">
      <c r="A121" t="s">
        <v>1896</v>
      </c>
      <c r="B121" t="s">
        <v>4622</v>
      </c>
      <c r="C121" t="s">
        <v>6553</v>
      </c>
      <c r="D121">
        <v>-300</v>
      </c>
      <c r="E121">
        <v>300</v>
      </c>
      <c r="F121" t="s">
        <v>3868</v>
      </c>
      <c r="H121" s="2"/>
    </row>
    <row r="122" spans="1:8" x14ac:dyDescent="0.25">
      <c r="A122" t="s">
        <v>1898</v>
      </c>
      <c r="B122" t="s">
        <v>4629</v>
      </c>
      <c r="C122" t="s">
        <v>6554</v>
      </c>
      <c r="D122">
        <v>-300</v>
      </c>
      <c r="E122">
        <v>300</v>
      </c>
      <c r="F122" t="s">
        <v>3868</v>
      </c>
      <c r="H122" s="2">
        <v>76</v>
      </c>
    </row>
    <row r="123" spans="1:8" x14ac:dyDescent="0.25">
      <c r="A123" t="s">
        <v>1900</v>
      </c>
      <c r="B123" t="s">
        <v>4637</v>
      </c>
      <c r="C123" t="s">
        <v>6555</v>
      </c>
      <c r="D123">
        <v>-300</v>
      </c>
      <c r="E123">
        <v>300</v>
      </c>
      <c r="F123" t="s">
        <v>3868</v>
      </c>
      <c r="H123" s="2"/>
    </row>
    <row r="124" spans="1:8" x14ac:dyDescent="0.25">
      <c r="A124" t="s">
        <v>1902</v>
      </c>
      <c r="B124" t="s">
        <v>4640</v>
      </c>
      <c r="C124" t="s">
        <v>6556</v>
      </c>
      <c r="D124">
        <v>-300</v>
      </c>
      <c r="E124">
        <v>300</v>
      </c>
      <c r="F124" t="s">
        <v>3868</v>
      </c>
      <c r="H124" s="2"/>
    </row>
    <row r="125" spans="1:8" x14ac:dyDescent="0.25">
      <c r="A125" t="s">
        <v>1904</v>
      </c>
      <c r="B125" t="s">
        <v>4646</v>
      </c>
      <c r="C125" t="s">
        <v>6557</v>
      </c>
      <c r="D125">
        <v>-300</v>
      </c>
      <c r="E125">
        <v>300</v>
      </c>
      <c r="F125" t="s">
        <v>3868</v>
      </c>
      <c r="H125" s="2">
        <v>53</v>
      </c>
    </row>
    <row r="126" spans="1:8" x14ac:dyDescent="0.25">
      <c r="A126" t="s">
        <v>4647</v>
      </c>
      <c r="B126" t="s">
        <v>4648</v>
      </c>
      <c r="C126" t="s">
        <v>5271</v>
      </c>
      <c r="D126">
        <v>-300</v>
      </c>
      <c r="E126">
        <v>300</v>
      </c>
      <c r="F126" t="s">
        <v>3868</v>
      </c>
      <c r="H126" s="2">
        <v>53</v>
      </c>
    </row>
    <row r="127" spans="1:8" x14ac:dyDescent="0.25">
      <c r="A127" t="s">
        <v>1906</v>
      </c>
      <c r="B127" t="s">
        <v>4649</v>
      </c>
      <c r="C127" t="s">
        <v>6558</v>
      </c>
      <c r="D127">
        <v>-300</v>
      </c>
      <c r="E127">
        <v>300</v>
      </c>
      <c r="F127" t="s">
        <v>3868</v>
      </c>
      <c r="H127" s="2">
        <v>10</v>
      </c>
    </row>
    <row r="128" spans="1:8" x14ac:dyDescent="0.25">
      <c r="A128" t="s">
        <v>1908</v>
      </c>
      <c r="B128" t="s">
        <v>4650</v>
      </c>
      <c r="C128" t="s">
        <v>6559</v>
      </c>
      <c r="D128">
        <v>-300</v>
      </c>
      <c r="E128">
        <v>300</v>
      </c>
      <c r="F128" t="s">
        <v>3868</v>
      </c>
      <c r="H128" s="2">
        <v>10</v>
      </c>
    </row>
    <row r="129" spans="1:8" x14ac:dyDescent="0.25">
      <c r="A129" t="s">
        <v>1910</v>
      </c>
      <c r="B129" t="s">
        <v>4651</v>
      </c>
      <c r="C129" t="s">
        <v>6560</v>
      </c>
      <c r="D129">
        <v>-300</v>
      </c>
      <c r="E129">
        <v>300</v>
      </c>
      <c r="F129" t="s">
        <v>3868</v>
      </c>
      <c r="H129" s="2">
        <v>10</v>
      </c>
    </row>
    <row r="130" spans="1:8" x14ac:dyDescent="0.25">
      <c r="A130" t="s">
        <v>1912</v>
      </c>
      <c r="B130" t="s">
        <v>4652</v>
      </c>
      <c r="C130" t="s">
        <v>6561</v>
      </c>
      <c r="D130">
        <v>-300</v>
      </c>
      <c r="E130">
        <v>300</v>
      </c>
      <c r="F130" t="s">
        <v>3868</v>
      </c>
      <c r="H130" s="2">
        <v>139</v>
      </c>
    </row>
    <row r="131" spans="1:8" x14ac:dyDescent="0.25">
      <c r="A131" t="s">
        <v>1914</v>
      </c>
      <c r="B131" t="s">
        <v>4653</v>
      </c>
      <c r="C131" t="s">
        <v>6562</v>
      </c>
      <c r="D131">
        <v>-300</v>
      </c>
      <c r="E131">
        <v>300</v>
      </c>
      <c r="F131" t="s">
        <v>3868</v>
      </c>
      <c r="H131" s="2">
        <v>10</v>
      </c>
    </row>
    <row r="132" spans="1:8" x14ac:dyDescent="0.25">
      <c r="A132" t="s">
        <v>1916</v>
      </c>
      <c r="B132" t="s">
        <v>4654</v>
      </c>
      <c r="C132" t="s">
        <v>6563</v>
      </c>
      <c r="D132">
        <v>-300</v>
      </c>
      <c r="E132">
        <v>300</v>
      </c>
      <c r="F132" t="s">
        <v>3868</v>
      </c>
      <c r="H132" s="2">
        <v>10</v>
      </c>
    </row>
    <row r="133" spans="1:8" x14ac:dyDescent="0.25">
      <c r="A133" t="s">
        <v>1918</v>
      </c>
      <c r="B133" t="s">
        <v>4659</v>
      </c>
      <c r="C133" t="s">
        <v>6564</v>
      </c>
      <c r="D133">
        <v>-300</v>
      </c>
      <c r="E133">
        <v>300</v>
      </c>
      <c r="F133" t="s">
        <v>3868</v>
      </c>
      <c r="H133" s="2">
        <v>135</v>
      </c>
    </row>
    <row r="134" spans="1:8" x14ac:dyDescent="0.25">
      <c r="A134" t="s">
        <v>1920</v>
      </c>
      <c r="B134" t="s">
        <v>4662</v>
      </c>
      <c r="C134" t="s">
        <v>6565</v>
      </c>
      <c r="D134">
        <v>-300</v>
      </c>
      <c r="E134">
        <v>300</v>
      </c>
      <c r="F134" t="s">
        <v>3868</v>
      </c>
      <c r="H134" s="2">
        <v>132</v>
      </c>
    </row>
    <row r="135" spans="1:8" x14ac:dyDescent="0.25">
      <c r="A135" t="s">
        <v>1922</v>
      </c>
      <c r="B135" t="s">
        <v>4683</v>
      </c>
      <c r="C135" t="s">
        <v>6566</v>
      </c>
      <c r="D135">
        <v>-300</v>
      </c>
      <c r="E135">
        <v>300</v>
      </c>
      <c r="F135" t="s">
        <v>3868</v>
      </c>
      <c r="H135" s="2">
        <v>36</v>
      </c>
    </row>
    <row r="136" spans="1:8" x14ac:dyDescent="0.25">
      <c r="A136" t="s">
        <v>1924</v>
      </c>
      <c r="B136" t="s">
        <v>4685</v>
      </c>
      <c r="C136" t="s">
        <v>6567</v>
      </c>
      <c r="D136">
        <v>-300</v>
      </c>
      <c r="E136">
        <v>300</v>
      </c>
      <c r="F136" t="s">
        <v>3868</v>
      </c>
      <c r="H136" s="2">
        <v>72</v>
      </c>
    </row>
    <row r="137" spans="1:8" x14ac:dyDescent="0.25">
      <c r="A137" t="s">
        <v>1926</v>
      </c>
      <c r="B137" t="s">
        <v>4688</v>
      </c>
      <c r="C137" t="s">
        <v>6568</v>
      </c>
      <c r="D137">
        <v>-300</v>
      </c>
      <c r="E137">
        <v>300</v>
      </c>
      <c r="F137" t="s">
        <v>3868</v>
      </c>
      <c r="H137" s="2">
        <v>72</v>
      </c>
    </row>
    <row r="138" spans="1:8" x14ac:dyDescent="0.25">
      <c r="A138" t="s">
        <v>1928</v>
      </c>
      <c r="B138" t="s">
        <v>4711</v>
      </c>
      <c r="C138" t="s">
        <v>6569</v>
      </c>
      <c r="D138">
        <v>-300</v>
      </c>
      <c r="E138">
        <v>300</v>
      </c>
      <c r="F138" t="s">
        <v>3868</v>
      </c>
      <c r="H138" s="2"/>
    </row>
    <row r="139" spans="1:8" x14ac:dyDescent="0.25">
      <c r="A139" t="s">
        <v>1930</v>
      </c>
      <c r="B139" t="s">
        <v>4729</v>
      </c>
      <c r="C139" t="s">
        <v>6570</v>
      </c>
      <c r="D139">
        <v>-300</v>
      </c>
      <c r="E139">
        <v>300</v>
      </c>
      <c r="F139" t="s">
        <v>3868</v>
      </c>
      <c r="H139" s="2"/>
    </row>
    <row r="140" spans="1:8" x14ac:dyDescent="0.25">
      <c r="A140" t="s">
        <v>1932</v>
      </c>
      <c r="B140" t="s">
        <v>4736</v>
      </c>
      <c r="C140" t="s">
        <v>6571</v>
      </c>
      <c r="D140">
        <v>-300</v>
      </c>
      <c r="E140">
        <v>300</v>
      </c>
      <c r="F140" t="s">
        <v>4097</v>
      </c>
      <c r="G140" t="s">
        <v>4734</v>
      </c>
      <c r="H140" s="2"/>
    </row>
    <row r="141" spans="1:8" x14ac:dyDescent="0.25">
      <c r="A141" t="s">
        <v>1933</v>
      </c>
      <c r="B141" t="s">
        <v>4737</v>
      </c>
      <c r="C141" t="s">
        <v>6572</v>
      </c>
      <c r="D141">
        <v>-300</v>
      </c>
      <c r="E141">
        <v>300</v>
      </c>
      <c r="F141" t="s">
        <v>4097</v>
      </c>
      <c r="G141" t="s">
        <v>4734</v>
      </c>
      <c r="H141" s="2"/>
    </row>
    <row r="142" spans="1:8" x14ac:dyDescent="0.25">
      <c r="A142" t="s">
        <v>1934</v>
      </c>
      <c r="B142" t="s">
        <v>4738</v>
      </c>
      <c r="C142" t="s">
        <v>6573</v>
      </c>
      <c r="D142">
        <v>-300</v>
      </c>
      <c r="E142">
        <v>300</v>
      </c>
      <c r="F142" t="s">
        <v>4097</v>
      </c>
      <c r="G142" t="s">
        <v>4734</v>
      </c>
      <c r="H142" s="2"/>
    </row>
    <row r="143" spans="1:8" x14ac:dyDescent="0.25">
      <c r="A143" t="s">
        <v>1935</v>
      </c>
      <c r="B143" t="s">
        <v>4746</v>
      </c>
      <c r="C143" t="s">
        <v>6574</v>
      </c>
      <c r="D143">
        <v>-300</v>
      </c>
      <c r="E143">
        <v>300</v>
      </c>
      <c r="F143" t="s">
        <v>3868</v>
      </c>
      <c r="H143" s="2"/>
    </row>
    <row r="144" spans="1:8" x14ac:dyDescent="0.25">
      <c r="A144" t="s">
        <v>1937</v>
      </c>
      <c r="B144" t="s">
        <v>4747</v>
      </c>
      <c r="C144" t="s">
        <v>6575</v>
      </c>
      <c r="D144">
        <v>-300</v>
      </c>
      <c r="E144">
        <v>300</v>
      </c>
      <c r="F144" t="s">
        <v>3868</v>
      </c>
      <c r="H144" s="2"/>
    </row>
    <row r="145" spans="1:8" x14ac:dyDescent="0.25">
      <c r="A145" t="s">
        <v>4748</v>
      </c>
      <c r="B145" t="s">
        <v>4749</v>
      </c>
      <c r="C145" t="s">
        <v>5272</v>
      </c>
      <c r="D145">
        <v>-300</v>
      </c>
      <c r="E145">
        <v>300</v>
      </c>
      <c r="F145" t="s">
        <v>3868</v>
      </c>
      <c r="H145" s="2"/>
    </row>
    <row r="146" spans="1:8" x14ac:dyDescent="0.25">
      <c r="A146" t="s">
        <v>1939</v>
      </c>
      <c r="B146" t="s">
        <v>4759</v>
      </c>
      <c r="C146" t="s">
        <v>6576</v>
      </c>
      <c r="D146">
        <v>-300</v>
      </c>
      <c r="E146">
        <v>300</v>
      </c>
      <c r="F146" t="s">
        <v>3868</v>
      </c>
      <c r="H146" s="2">
        <v>103</v>
      </c>
    </row>
    <row r="147" spans="1:8" x14ac:dyDescent="0.25">
      <c r="A147" t="s">
        <v>1941</v>
      </c>
      <c r="B147" t="s">
        <v>4766</v>
      </c>
      <c r="C147" t="s">
        <v>6577</v>
      </c>
      <c r="D147">
        <v>-300</v>
      </c>
      <c r="E147">
        <v>300</v>
      </c>
      <c r="F147" t="s">
        <v>3868</v>
      </c>
      <c r="H147" s="2"/>
    </row>
    <row r="148" spans="1:8" x14ac:dyDescent="0.25">
      <c r="A148" t="s">
        <v>1943</v>
      </c>
      <c r="B148" t="s">
        <v>4767</v>
      </c>
      <c r="C148" t="s">
        <v>6578</v>
      </c>
      <c r="D148">
        <v>-300</v>
      </c>
      <c r="E148">
        <v>300</v>
      </c>
      <c r="F148" t="s">
        <v>3868</v>
      </c>
      <c r="G148" t="s">
        <v>4765</v>
      </c>
      <c r="H148" s="2">
        <v>137</v>
      </c>
    </row>
    <row r="149" spans="1:8" x14ac:dyDescent="0.25">
      <c r="A149" t="s">
        <v>1945</v>
      </c>
      <c r="B149" t="s">
        <v>4775</v>
      </c>
      <c r="C149" t="s">
        <v>6579</v>
      </c>
      <c r="D149">
        <v>-300</v>
      </c>
      <c r="E149">
        <v>300</v>
      </c>
      <c r="F149" t="s">
        <v>3868</v>
      </c>
      <c r="H149" s="2">
        <v>18</v>
      </c>
    </row>
    <row r="150" spans="1:8" x14ac:dyDescent="0.25">
      <c r="A150" t="s">
        <v>1947</v>
      </c>
      <c r="B150" t="s">
        <v>4776</v>
      </c>
      <c r="C150" t="s">
        <v>6580</v>
      </c>
      <c r="D150">
        <v>-300</v>
      </c>
      <c r="E150">
        <v>300</v>
      </c>
      <c r="F150" t="s">
        <v>4097</v>
      </c>
      <c r="G150" t="s">
        <v>6581</v>
      </c>
      <c r="H150" s="2"/>
    </row>
    <row r="151" spans="1:8" x14ac:dyDescent="0.25">
      <c r="A151" t="s">
        <v>1949</v>
      </c>
      <c r="B151" t="s">
        <v>4777</v>
      </c>
      <c r="C151" t="s">
        <v>6582</v>
      </c>
      <c r="D151">
        <v>-300</v>
      </c>
      <c r="E151">
        <v>300</v>
      </c>
      <c r="F151" t="s">
        <v>4097</v>
      </c>
      <c r="H151" s="2"/>
    </row>
    <row r="152" spans="1:8" x14ac:dyDescent="0.25">
      <c r="A152" t="s">
        <v>1951</v>
      </c>
      <c r="B152" t="s">
        <v>4778</v>
      </c>
      <c r="C152" t="s">
        <v>6583</v>
      </c>
      <c r="D152">
        <v>-300</v>
      </c>
      <c r="E152">
        <v>300</v>
      </c>
      <c r="F152" t="s">
        <v>3868</v>
      </c>
      <c r="H152" s="2">
        <v>18</v>
      </c>
    </row>
    <row r="153" spans="1:8" x14ac:dyDescent="0.25">
      <c r="A153" t="s">
        <v>1953</v>
      </c>
      <c r="B153" t="s">
        <v>4804</v>
      </c>
      <c r="C153" t="s">
        <v>6584</v>
      </c>
      <c r="D153">
        <v>-300</v>
      </c>
      <c r="E153">
        <v>300</v>
      </c>
      <c r="F153" t="s">
        <v>3868</v>
      </c>
      <c r="H153" s="2"/>
    </row>
    <row r="154" spans="1:8" x14ac:dyDescent="0.25">
      <c r="A154" t="s">
        <v>1955</v>
      </c>
      <c r="B154" t="s">
        <v>4808</v>
      </c>
      <c r="C154" t="s">
        <v>6585</v>
      </c>
      <c r="D154">
        <v>-300</v>
      </c>
      <c r="E154">
        <v>300</v>
      </c>
      <c r="F154" t="s">
        <v>3868</v>
      </c>
      <c r="H154" s="2">
        <v>4</v>
      </c>
    </row>
    <row r="155" spans="1:8" x14ac:dyDescent="0.25">
      <c r="A155" t="s">
        <v>1957</v>
      </c>
      <c r="B155" t="s">
        <v>4823</v>
      </c>
      <c r="C155" t="s">
        <v>6586</v>
      </c>
      <c r="D155">
        <v>-300</v>
      </c>
      <c r="E155">
        <v>300</v>
      </c>
      <c r="F155" t="s">
        <v>3868</v>
      </c>
      <c r="H155" s="2"/>
    </row>
    <row r="156" spans="1:8" x14ac:dyDescent="0.25">
      <c r="A156" t="s">
        <v>1959</v>
      </c>
      <c r="B156" t="s">
        <v>4883</v>
      </c>
      <c r="C156" t="s">
        <v>6587</v>
      </c>
      <c r="D156">
        <v>-300</v>
      </c>
      <c r="E156">
        <v>300</v>
      </c>
      <c r="F156" t="s">
        <v>3868</v>
      </c>
      <c r="H156" s="2"/>
    </row>
    <row r="157" spans="1:8" x14ac:dyDescent="0.25">
      <c r="A157" t="s">
        <v>1961</v>
      </c>
      <c r="B157" t="s">
        <v>4886</v>
      </c>
      <c r="C157" t="s">
        <v>6588</v>
      </c>
      <c r="D157">
        <v>-300</v>
      </c>
      <c r="E157">
        <v>300</v>
      </c>
      <c r="F157" t="s">
        <v>3868</v>
      </c>
      <c r="H157" s="2"/>
    </row>
    <row r="158" spans="1:8" x14ac:dyDescent="0.25">
      <c r="A158" t="s">
        <v>1963</v>
      </c>
      <c r="B158" t="s">
        <v>4887</v>
      </c>
      <c r="C158" t="s">
        <v>6589</v>
      </c>
      <c r="D158">
        <v>-300</v>
      </c>
      <c r="E158">
        <v>300</v>
      </c>
      <c r="F158" t="s">
        <v>3868</v>
      </c>
      <c r="H158" s="2"/>
    </row>
    <row r="159" spans="1:8" x14ac:dyDescent="0.25">
      <c r="A159" t="s">
        <v>1965</v>
      </c>
      <c r="B159" t="s">
        <v>4899</v>
      </c>
      <c r="C159" t="s">
        <v>6590</v>
      </c>
      <c r="D159">
        <v>-300</v>
      </c>
      <c r="E159">
        <v>300</v>
      </c>
      <c r="F159" t="s">
        <v>3868</v>
      </c>
      <c r="H159" s="2"/>
    </row>
    <row r="160" spans="1:8" x14ac:dyDescent="0.25">
      <c r="A160" t="s">
        <v>1967</v>
      </c>
      <c r="B160" t="s">
        <v>4926</v>
      </c>
      <c r="C160" t="s">
        <v>6591</v>
      </c>
      <c r="D160">
        <v>-300</v>
      </c>
      <c r="E160">
        <v>300</v>
      </c>
      <c r="F160" t="s">
        <v>3904</v>
      </c>
      <c r="H160" s="2"/>
    </row>
    <row r="161" spans="1:8" x14ac:dyDescent="0.25">
      <c r="A161" t="s">
        <v>1969</v>
      </c>
      <c r="B161" t="s">
        <v>4946</v>
      </c>
      <c r="C161" t="s">
        <v>6592</v>
      </c>
      <c r="D161">
        <v>-300</v>
      </c>
      <c r="E161">
        <v>300</v>
      </c>
      <c r="F161" t="s">
        <v>3868</v>
      </c>
      <c r="H161" s="2"/>
    </row>
    <row r="162" spans="1:8" x14ac:dyDescent="0.25">
      <c r="A162" t="s">
        <v>1971</v>
      </c>
      <c r="B162" t="s">
        <v>4949</v>
      </c>
      <c r="C162" t="s">
        <v>6593</v>
      </c>
      <c r="D162">
        <v>-300</v>
      </c>
      <c r="E162">
        <v>300</v>
      </c>
      <c r="F162" t="s">
        <v>3868</v>
      </c>
      <c r="H162" s="2"/>
    </row>
    <row r="163" spans="1:8" x14ac:dyDescent="0.25">
      <c r="A163" t="s">
        <v>1973</v>
      </c>
      <c r="B163" t="s">
        <v>4950</v>
      </c>
      <c r="C163" t="s">
        <v>6594</v>
      </c>
      <c r="D163">
        <v>-300</v>
      </c>
      <c r="E163">
        <v>300</v>
      </c>
      <c r="F163" t="s">
        <v>3868</v>
      </c>
      <c r="H163" s="2"/>
    </row>
    <row r="164" spans="1:8" x14ac:dyDescent="0.25">
      <c r="A164" t="s">
        <v>1975</v>
      </c>
      <c r="B164" t="s">
        <v>4967</v>
      </c>
      <c r="C164" t="s">
        <v>6595</v>
      </c>
      <c r="D164">
        <v>-300</v>
      </c>
      <c r="E164">
        <v>300</v>
      </c>
      <c r="F164" t="s">
        <v>3868</v>
      </c>
      <c r="H164" s="2"/>
    </row>
    <row r="165" spans="1:8" x14ac:dyDescent="0.25">
      <c r="A165" t="s">
        <v>1977</v>
      </c>
      <c r="B165" t="s">
        <v>4968</v>
      </c>
      <c r="C165" t="s">
        <v>6596</v>
      </c>
      <c r="D165">
        <v>-300</v>
      </c>
      <c r="E165">
        <v>300</v>
      </c>
      <c r="F165" t="s">
        <v>3868</v>
      </c>
      <c r="H165" s="2">
        <v>59</v>
      </c>
    </row>
    <row r="166" spans="1:8" x14ac:dyDescent="0.25">
      <c r="A166" t="s">
        <v>1979</v>
      </c>
      <c r="B166" t="s">
        <v>4969</v>
      </c>
      <c r="C166" t="s">
        <v>6597</v>
      </c>
      <c r="D166">
        <v>-300</v>
      </c>
      <c r="E166">
        <v>300</v>
      </c>
      <c r="F166" t="s">
        <v>3868</v>
      </c>
      <c r="H166" s="2">
        <v>59</v>
      </c>
    </row>
    <row r="167" spans="1:8" x14ac:dyDescent="0.25">
      <c r="A167" t="s">
        <v>1981</v>
      </c>
      <c r="B167" t="s">
        <v>4989</v>
      </c>
      <c r="C167" t="s">
        <v>6598</v>
      </c>
      <c r="D167">
        <v>-300</v>
      </c>
      <c r="E167">
        <v>300</v>
      </c>
      <c r="F167" t="s">
        <v>3868</v>
      </c>
      <c r="H167" s="2"/>
    </row>
    <row r="168" spans="1:8" x14ac:dyDescent="0.25">
      <c r="A168" t="s">
        <v>1983</v>
      </c>
      <c r="B168" t="s">
        <v>5002</v>
      </c>
      <c r="C168" t="s">
        <v>6599</v>
      </c>
      <c r="D168">
        <v>-300</v>
      </c>
      <c r="E168">
        <v>300</v>
      </c>
      <c r="F168" t="s">
        <v>3868</v>
      </c>
      <c r="H168" s="2"/>
    </row>
    <row r="169" spans="1:8" x14ac:dyDescent="0.25">
      <c r="A169" t="s">
        <v>1985</v>
      </c>
      <c r="B169" t="s">
        <v>5007</v>
      </c>
      <c r="C169" t="s">
        <v>6600</v>
      </c>
      <c r="D169">
        <v>-300</v>
      </c>
      <c r="E169">
        <v>300</v>
      </c>
      <c r="F169" t="s">
        <v>3868</v>
      </c>
      <c r="H169" s="2"/>
    </row>
    <row r="170" spans="1:8" x14ac:dyDescent="0.25">
      <c r="A170" t="s">
        <v>1987</v>
      </c>
      <c r="B170" t="s">
        <v>5031</v>
      </c>
      <c r="C170" t="s">
        <v>6601</v>
      </c>
      <c r="D170">
        <v>-300</v>
      </c>
      <c r="E170">
        <v>300</v>
      </c>
      <c r="F170" t="s">
        <v>3868</v>
      </c>
      <c r="H170" s="2"/>
    </row>
    <row r="171" spans="1:8" x14ac:dyDescent="0.25">
      <c r="A171" t="s">
        <v>1989</v>
      </c>
      <c r="B171" t="s">
        <v>5043</v>
      </c>
      <c r="C171" t="s">
        <v>6602</v>
      </c>
      <c r="D171">
        <v>-300</v>
      </c>
      <c r="E171">
        <v>300</v>
      </c>
      <c r="F171" t="s">
        <v>3868</v>
      </c>
      <c r="H171" s="2">
        <v>61</v>
      </c>
    </row>
    <row r="172" spans="1:8" x14ac:dyDescent="0.25">
      <c r="A172" t="s">
        <v>1991</v>
      </c>
      <c r="B172" t="s">
        <v>5044</v>
      </c>
      <c r="C172" t="s">
        <v>6603</v>
      </c>
      <c r="D172">
        <v>-300</v>
      </c>
      <c r="E172">
        <v>300</v>
      </c>
      <c r="F172" t="s">
        <v>3868</v>
      </c>
      <c r="H172" s="2">
        <v>61</v>
      </c>
    </row>
    <row r="173" spans="1:8" x14ac:dyDescent="0.25">
      <c r="A173" t="s">
        <v>1993</v>
      </c>
      <c r="B173" t="s">
        <v>5057</v>
      </c>
      <c r="C173" t="s">
        <v>6604</v>
      </c>
      <c r="D173">
        <v>-300</v>
      </c>
      <c r="E173">
        <v>300</v>
      </c>
      <c r="F173" t="s">
        <v>3868</v>
      </c>
      <c r="H173" s="2"/>
    </row>
    <row r="174" spans="1:8" x14ac:dyDescent="0.25">
      <c r="A174" t="s">
        <v>1995</v>
      </c>
      <c r="B174" t="s">
        <v>5071</v>
      </c>
      <c r="C174" t="s">
        <v>6605</v>
      </c>
      <c r="D174">
        <v>-300</v>
      </c>
      <c r="E174">
        <v>300</v>
      </c>
      <c r="F174" t="s">
        <v>3904</v>
      </c>
      <c r="H174" s="2">
        <v>110</v>
      </c>
    </row>
    <row r="175" spans="1:8" x14ac:dyDescent="0.25">
      <c r="A175" t="s">
        <v>1997</v>
      </c>
      <c r="B175" t="s">
        <v>5072</v>
      </c>
      <c r="C175" t="s">
        <v>6606</v>
      </c>
      <c r="D175">
        <v>-300</v>
      </c>
      <c r="E175">
        <v>300</v>
      </c>
      <c r="F175" t="s">
        <v>3868</v>
      </c>
      <c r="H175" s="2">
        <v>53</v>
      </c>
    </row>
    <row r="176" spans="1:8" x14ac:dyDescent="0.25">
      <c r="A176" t="s">
        <v>5073</v>
      </c>
      <c r="B176" t="s">
        <v>5074</v>
      </c>
      <c r="C176" t="s">
        <v>5273</v>
      </c>
      <c r="D176">
        <v>-300</v>
      </c>
      <c r="E176">
        <v>300</v>
      </c>
      <c r="F176" t="s">
        <v>3868</v>
      </c>
      <c r="H176" s="2">
        <v>53</v>
      </c>
    </row>
    <row r="177" spans="1:8" x14ac:dyDescent="0.25">
      <c r="A177" t="s">
        <v>1999</v>
      </c>
      <c r="B177" t="s">
        <v>5075</v>
      </c>
      <c r="C177" t="s">
        <v>6607</v>
      </c>
      <c r="D177">
        <v>-300</v>
      </c>
      <c r="E177">
        <v>300</v>
      </c>
      <c r="F177" t="s">
        <v>3868</v>
      </c>
      <c r="H177" s="2">
        <v>53</v>
      </c>
    </row>
    <row r="178" spans="1:8" x14ac:dyDescent="0.25">
      <c r="A178" t="s">
        <v>2001</v>
      </c>
      <c r="B178" t="s">
        <v>5078</v>
      </c>
      <c r="C178" t="s">
        <v>6608</v>
      </c>
      <c r="D178">
        <v>-300</v>
      </c>
      <c r="E178">
        <v>300</v>
      </c>
      <c r="F178" t="s">
        <v>3868</v>
      </c>
      <c r="H178" s="2" t="s">
        <v>6498</v>
      </c>
    </row>
    <row r="179" spans="1:8" x14ac:dyDescent="0.25">
      <c r="A179" t="s">
        <v>2003</v>
      </c>
      <c r="B179" t="s">
        <v>5081</v>
      </c>
      <c r="C179" t="s">
        <v>6609</v>
      </c>
      <c r="D179">
        <v>-300</v>
      </c>
      <c r="E179">
        <v>300</v>
      </c>
      <c r="F179" t="s">
        <v>3868</v>
      </c>
      <c r="H179" s="2"/>
    </row>
    <row r="180" spans="1:8" x14ac:dyDescent="0.25">
      <c r="A180" t="s">
        <v>2005</v>
      </c>
      <c r="B180" t="s">
        <v>5082</v>
      </c>
      <c r="C180" t="s">
        <v>6610</v>
      </c>
      <c r="D180">
        <v>-300</v>
      </c>
      <c r="E180">
        <v>300</v>
      </c>
      <c r="F180" t="s">
        <v>3868</v>
      </c>
      <c r="H180" s="3">
        <v>102141</v>
      </c>
    </row>
    <row r="181" spans="1:8" x14ac:dyDescent="0.25">
      <c r="A181" t="s">
        <v>2007</v>
      </c>
      <c r="B181" t="s">
        <v>5091</v>
      </c>
      <c r="C181" t="s">
        <v>6611</v>
      </c>
      <c r="D181">
        <v>-300</v>
      </c>
      <c r="E181">
        <v>300</v>
      </c>
      <c r="F181" t="s">
        <v>3904</v>
      </c>
      <c r="H181" s="2"/>
    </row>
    <row r="182" spans="1:8" x14ac:dyDescent="0.25">
      <c r="A182" t="s">
        <v>2009</v>
      </c>
      <c r="B182" t="s">
        <v>5094</v>
      </c>
      <c r="C182" t="s">
        <v>6612</v>
      </c>
      <c r="D182">
        <v>-300</v>
      </c>
      <c r="E182">
        <v>300</v>
      </c>
      <c r="F182" t="s">
        <v>3868</v>
      </c>
      <c r="H182" s="2">
        <v>27</v>
      </c>
    </row>
    <row r="183" spans="1:8" x14ac:dyDescent="0.25">
      <c r="A183" t="s">
        <v>2011</v>
      </c>
      <c r="B183" t="s">
        <v>5110</v>
      </c>
      <c r="C183" t="s">
        <v>6613</v>
      </c>
      <c r="D183">
        <v>-300</v>
      </c>
      <c r="E183">
        <v>300</v>
      </c>
      <c r="F183" t="s">
        <v>4097</v>
      </c>
      <c r="G183" t="s">
        <v>6614</v>
      </c>
      <c r="H183" s="2"/>
    </row>
    <row r="184" spans="1:8" x14ac:dyDescent="0.25">
      <c r="A184" t="s">
        <v>2013</v>
      </c>
      <c r="B184" t="s">
        <v>5113</v>
      </c>
      <c r="C184" t="s">
        <v>6615</v>
      </c>
      <c r="D184">
        <v>-300</v>
      </c>
      <c r="E184">
        <v>300</v>
      </c>
      <c r="F184" t="s">
        <v>3868</v>
      </c>
      <c r="H184" s="3">
        <v>49141</v>
      </c>
    </row>
    <row r="185" spans="1:8" x14ac:dyDescent="0.25">
      <c r="A185" t="s">
        <v>2015</v>
      </c>
      <c r="B185" t="s">
        <v>5114</v>
      </c>
      <c r="C185" t="s">
        <v>5274</v>
      </c>
      <c r="D185">
        <v>-300</v>
      </c>
      <c r="E185">
        <v>300</v>
      </c>
      <c r="F185" t="s">
        <v>3868</v>
      </c>
      <c r="H185" s="2"/>
    </row>
    <row r="186" spans="1:8" x14ac:dyDescent="0.25">
      <c r="A186" t="s">
        <v>5115</v>
      </c>
      <c r="B186" t="s">
        <v>5116</v>
      </c>
      <c r="C186" t="s">
        <v>5274</v>
      </c>
      <c r="D186">
        <v>-300</v>
      </c>
      <c r="E186">
        <v>300</v>
      </c>
      <c r="F186" t="s">
        <v>3868</v>
      </c>
      <c r="H186" s="2">
        <v>75</v>
      </c>
    </row>
    <row r="187" spans="1:8" x14ac:dyDescent="0.25">
      <c r="A187" t="s">
        <v>2017</v>
      </c>
      <c r="B187" t="s">
        <v>5117</v>
      </c>
      <c r="C187" t="s">
        <v>6616</v>
      </c>
      <c r="D187">
        <v>-300</v>
      </c>
      <c r="E187">
        <v>300</v>
      </c>
      <c r="F187" t="s">
        <v>3868</v>
      </c>
      <c r="H187" s="2">
        <v>93</v>
      </c>
    </row>
    <row r="188" spans="1:8" x14ac:dyDescent="0.25">
      <c r="A188" t="s">
        <v>2019</v>
      </c>
      <c r="B188" t="s">
        <v>5126</v>
      </c>
      <c r="C188" t="s">
        <v>6617</v>
      </c>
      <c r="D188">
        <v>-300</v>
      </c>
      <c r="E188">
        <v>300</v>
      </c>
      <c r="F188" t="s">
        <v>3868</v>
      </c>
      <c r="H188" s="2">
        <v>61</v>
      </c>
    </row>
    <row r="189" spans="1:8" x14ac:dyDescent="0.25">
      <c r="A189" t="s">
        <v>2021</v>
      </c>
      <c r="B189" t="s">
        <v>5127</v>
      </c>
      <c r="C189" t="s">
        <v>6618</v>
      </c>
      <c r="D189">
        <v>-300</v>
      </c>
      <c r="E189">
        <v>300</v>
      </c>
      <c r="F189" t="s">
        <v>3868</v>
      </c>
      <c r="H189" s="2">
        <v>79</v>
      </c>
    </row>
    <row r="190" spans="1:8" x14ac:dyDescent="0.25">
      <c r="A190" t="s">
        <v>2023</v>
      </c>
      <c r="B190" t="s">
        <v>5132</v>
      </c>
      <c r="C190" t="s">
        <v>6619</v>
      </c>
      <c r="D190">
        <v>-300</v>
      </c>
      <c r="E190">
        <v>300</v>
      </c>
      <c r="F190" t="s">
        <v>4097</v>
      </c>
      <c r="H190" s="3">
        <v>39110</v>
      </c>
    </row>
    <row r="191" spans="1:8" x14ac:dyDescent="0.25">
      <c r="A191" t="s">
        <v>2025</v>
      </c>
      <c r="B191" t="s">
        <v>5133</v>
      </c>
      <c r="C191" t="s">
        <v>6620</v>
      </c>
      <c r="D191">
        <v>-300</v>
      </c>
      <c r="E191">
        <v>300</v>
      </c>
      <c r="F191" t="s">
        <v>4097</v>
      </c>
      <c r="H191" s="3">
        <v>39110</v>
      </c>
    </row>
    <row r="192" spans="1:8" x14ac:dyDescent="0.25">
      <c r="A192" t="s">
        <v>2027</v>
      </c>
      <c r="B192" t="s">
        <v>5160</v>
      </c>
      <c r="C192" t="s">
        <v>6621</v>
      </c>
      <c r="D192">
        <v>-300</v>
      </c>
      <c r="E192">
        <v>300</v>
      </c>
      <c r="F192" t="s">
        <v>3868</v>
      </c>
      <c r="H192" s="2"/>
    </row>
    <row r="193" spans="1:8" x14ac:dyDescent="0.25">
      <c r="A193" t="s">
        <v>2029</v>
      </c>
      <c r="B193" t="s">
        <v>5167</v>
      </c>
      <c r="C193" t="s">
        <v>6622</v>
      </c>
      <c r="D193">
        <v>-300</v>
      </c>
      <c r="E193">
        <v>300</v>
      </c>
      <c r="F193" t="s">
        <v>3868</v>
      </c>
      <c r="H193" s="2">
        <v>131</v>
      </c>
    </row>
    <row r="194" spans="1:8" x14ac:dyDescent="0.25">
      <c r="A194" t="s">
        <v>2031</v>
      </c>
      <c r="B194" t="s">
        <v>5170</v>
      </c>
      <c r="C194" t="s">
        <v>6623</v>
      </c>
      <c r="D194">
        <v>-300</v>
      </c>
      <c r="E194">
        <v>300</v>
      </c>
      <c r="F194" t="s">
        <v>3868</v>
      </c>
      <c r="H194" s="3">
        <v>102141</v>
      </c>
    </row>
    <row r="195" spans="1:8" x14ac:dyDescent="0.25">
      <c r="A195" t="s">
        <v>2033</v>
      </c>
      <c r="B195" t="s">
        <v>5171</v>
      </c>
      <c r="C195" t="s">
        <v>6624</v>
      </c>
      <c r="D195">
        <v>-300</v>
      </c>
      <c r="E195">
        <v>300</v>
      </c>
      <c r="F195" t="s">
        <v>3868</v>
      </c>
      <c r="H195" s="2">
        <v>4</v>
      </c>
    </row>
    <row r="196" spans="1:8" x14ac:dyDescent="0.25">
      <c r="A196" t="s">
        <v>2035</v>
      </c>
      <c r="B196" t="s">
        <v>5172</v>
      </c>
      <c r="C196" t="s">
        <v>6625</v>
      </c>
      <c r="D196">
        <v>-300</v>
      </c>
      <c r="E196">
        <v>300</v>
      </c>
      <c r="F196" t="s">
        <v>3868</v>
      </c>
      <c r="H196" s="2" t="s">
        <v>6626</v>
      </c>
    </row>
    <row r="197" spans="1:8" x14ac:dyDescent="0.25">
      <c r="A197" t="s">
        <v>2037</v>
      </c>
      <c r="B197" t="s">
        <v>5220</v>
      </c>
      <c r="C197" t="s">
        <v>5275</v>
      </c>
      <c r="D197">
        <v>-300</v>
      </c>
      <c r="E197">
        <v>300</v>
      </c>
      <c r="F197" t="s">
        <v>3868</v>
      </c>
      <c r="H197" s="2"/>
    </row>
    <row r="198" spans="1:8" x14ac:dyDescent="0.25">
      <c r="A198" t="s">
        <v>5221</v>
      </c>
      <c r="B198" t="s">
        <v>5222</v>
      </c>
      <c r="C198" t="s">
        <v>5275</v>
      </c>
      <c r="D198">
        <v>-300</v>
      </c>
      <c r="E198">
        <v>300</v>
      </c>
      <c r="F198" t="s">
        <v>3904</v>
      </c>
      <c r="H198" s="2"/>
    </row>
    <row r="199" spans="1:8" x14ac:dyDescent="0.25">
      <c r="A199" t="s">
        <v>2039</v>
      </c>
      <c r="B199" t="s">
        <v>5223</v>
      </c>
      <c r="C199" t="s">
        <v>6627</v>
      </c>
      <c r="D199">
        <v>-300</v>
      </c>
      <c r="E199">
        <v>300</v>
      </c>
      <c r="F199" t="s">
        <v>3868</v>
      </c>
      <c r="H199" s="2">
        <v>46</v>
      </c>
    </row>
    <row r="200" spans="1:8" x14ac:dyDescent="0.25">
      <c r="A200" t="s">
        <v>2041</v>
      </c>
      <c r="B200" t="s">
        <v>5227</v>
      </c>
      <c r="C200" t="s">
        <v>5276</v>
      </c>
      <c r="D200">
        <v>-300</v>
      </c>
      <c r="E200">
        <v>300</v>
      </c>
      <c r="F200" t="s">
        <v>3868</v>
      </c>
      <c r="H200" s="2"/>
    </row>
    <row r="201" spans="1:8" x14ac:dyDescent="0.25">
      <c r="A201" t="s">
        <v>5228</v>
      </c>
      <c r="B201" t="s">
        <v>5229</v>
      </c>
      <c r="C201" t="s">
        <v>5276</v>
      </c>
      <c r="D201">
        <v>-300</v>
      </c>
      <c r="E201">
        <v>300</v>
      </c>
      <c r="F201" t="s">
        <v>3868</v>
      </c>
      <c r="H201" s="2">
        <v>75</v>
      </c>
    </row>
    <row r="202" spans="1:8" x14ac:dyDescent="0.25">
      <c r="A202" t="s">
        <v>2043</v>
      </c>
      <c r="B202" t="s">
        <v>5231</v>
      </c>
      <c r="C202" t="s">
        <v>6628</v>
      </c>
      <c r="D202">
        <v>-300</v>
      </c>
      <c r="E202">
        <v>300</v>
      </c>
      <c r="F202" t="s">
        <v>3868</v>
      </c>
      <c r="H202" s="2"/>
    </row>
    <row r="203" spans="1:8" x14ac:dyDescent="0.25">
      <c r="A203" t="s">
        <v>2045</v>
      </c>
      <c r="B203" t="s">
        <v>5232</v>
      </c>
      <c r="C203" t="s">
        <v>6629</v>
      </c>
      <c r="D203">
        <v>-300</v>
      </c>
      <c r="E203">
        <v>300</v>
      </c>
      <c r="F203" t="s">
        <v>3868</v>
      </c>
      <c r="H203" s="2"/>
    </row>
    <row r="204" spans="1:8" x14ac:dyDescent="0.25">
      <c r="A204" t="s">
        <v>2047</v>
      </c>
      <c r="B204" t="s">
        <v>5237</v>
      </c>
      <c r="C204" t="s">
        <v>6630</v>
      </c>
      <c r="D204">
        <v>-300</v>
      </c>
      <c r="E204">
        <v>300</v>
      </c>
      <c r="F204" t="s">
        <v>3868</v>
      </c>
      <c r="H204" s="2"/>
    </row>
    <row r="205" spans="1:8" x14ac:dyDescent="0.25">
      <c r="A205" t="s">
        <v>5238</v>
      </c>
      <c r="B205" t="s">
        <v>5239</v>
      </c>
      <c r="C205" t="s">
        <v>5277</v>
      </c>
      <c r="D205">
        <v>-300</v>
      </c>
      <c r="E205">
        <v>300</v>
      </c>
      <c r="F205" t="s">
        <v>3904</v>
      </c>
      <c r="H205" s="2"/>
    </row>
    <row r="206" spans="1:8" x14ac:dyDescent="0.25">
      <c r="A206" t="s">
        <v>2049</v>
      </c>
      <c r="B206" t="s">
        <v>5242</v>
      </c>
      <c r="C206" t="s">
        <v>6631</v>
      </c>
      <c r="D206">
        <v>-300</v>
      </c>
      <c r="E206">
        <v>300</v>
      </c>
      <c r="F206" t="s">
        <v>3868</v>
      </c>
      <c r="H206" s="2">
        <v>75</v>
      </c>
    </row>
    <row r="207" spans="1:8" x14ac:dyDescent="0.25">
      <c r="A207" t="s">
        <v>2051</v>
      </c>
      <c r="B207" t="s">
        <v>5243</v>
      </c>
      <c r="C207" t="s">
        <v>6632</v>
      </c>
      <c r="D207">
        <v>-300</v>
      </c>
      <c r="E207">
        <v>300</v>
      </c>
      <c r="F207" t="s">
        <v>3868</v>
      </c>
      <c r="H207" s="2"/>
    </row>
    <row r="208" spans="1:8" x14ac:dyDescent="0.25">
      <c r="A208" t="s">
        <v>2053</v>
      </c>
      <c r="B208" t="s">
        <v>5248</v>
      </c>
      <c r="C208" t="s">
        <v>6633</v>
      </c>
      <c r="D208">
        <v>-300</v>
      </c>
      <c r="E208">
        <v>300</v>
      </c>
      <c r="F208" t="s">
        <v>3868</v>
      </c>
      <c r="H208" s="2"/>
    </row>
  </sheetData>
  <sortState ref="A2:I3900">
    <sortCondition sortBy="cellColor" ref="A2:A3900" dxfId="30"/>
  </sortState>
  <conditionalFormatting sqref="A1:A1048576">
    <cfRule type="duplicateValues" dxfId="29" priority="215"/>
  </conditionalFormatting>
  <conditionalFormatting sqref="G1:G61702 A1:A61702">
    <cfRule type="duplicateValues" dxfId="28" priority="216" stopIfTrue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workbookViewId="0">
      <selection activeCell="E19" sqref="E19"/>
    </sheetView>
  </sheetViews>
  <sheetFormatPr defaultRowHeight="15" x14ac:dyDescent="0.25"/>
  <sheetData>
    <row r="1" spans="1:14" x14ac:dyDescent="0.25">
      <c r="A1" t="s">
        <v>4</v>
      </c>
      <c r="B1" t="s">
        <v>5</v>
      </c>
      <c r="C1" t="s">
        <v>6</v>
      </c>
      <c r="D1" t="s">
        <v>7</v>
      </c>
      <c r="E1" t="s">
        <v>1679</v>
      </c>
      <c r="F1" t="s">
        <v>1680</v>
      </c>
      <c r="G1" t="s">
        <v>1681</v>
      </c>
      <c r="N1" s="1"/>
    </row>
    <row r="2" spans="1:14" x14ac:dyDescent="0.25">
      <c r="A2" t="s">
        <v>1700</v>
      </c>
      <c r="B2">
        <v>-300</v>
      </c>
      <c r="C2">
        <v>300</v>
      </c>
      <c r="D2" t="s">
        <v>1701</v>
      </c>
      <c r="K2" t="s">
        <v>4006</v>
      </c>
    </row>
    <row r="3" spans="1:14" x14ac:dyDescent="0.25">
      <c r="A3" t="s">
        <v>1724</v>
      </c>
      <c r="B3">
        <v>-300</v>
      </c>
      <c r="C3">
        <v>300</v>
      </c>
      <c r="D3" t="s">
        <v>1725</v>
      </c>
      <c r="K3" t="s">
        <v>4337</v>
      </c>
      <c r="L3" t="s">
        <v>4338</v>
      </c>
      <c r="M3" t="s">
        <v>3868</v>
      </c>
      <c r="N3" t="s">
        <v>5266</v>
      </c>
    </row>
    <row r="4" spans="1:14" x14ac:dyDescent="0.25">
      <c r="A4" t="s">
        <v>1750</v>
      </c>
      <c r="B4">
        <v>-300</v>
      </c>
      <c r="C4">
        <v>300</v>
      </c>
      <c r="D4" t="s">
        <v>1751</v>
      </c>
      <c r="K4" t="s">
        <v>4376</v>
      </c>
      <c r="L4" t="s">
        <v>4377</v>
      </c>
      <c r="M4" t="s">
        <v>3884</v>
      </c>
      <c r="N4" t="s">
        <v>5267</v>
      </c>
    </row>
    <row r="5" spans="1:14" x14ac:dyDescent="0.25">
      <c r="A5" t="s">
        <v>1752</v>
      </c>
      <c r="B5">
        <v>-300</v>
      </c>
      <c r="C5">
        <v>300</v>
      </c>
      <c r="D5" t="s">
        <v>1753</v>
      </c>
      <c r="K5" t="s">
        <v>1816</v>
      </c>
      <c r="L5" t="s">
        <v>4395</v>
      </c>
      <c r="M5" t="s">
        <v>4097</v>
      </c>
      <c r="N5" t="s">
        <v>5268</v>
      </c>
    </row>
    <row r="6" spans="1:14" x14ac:dyDescent="0.25">
      <c r="A6" t="s">
        <v>1798</v>
      </c>
      <c r="B6">
        <v>-300</v>
      </c>
      <c r="C6">
        <v>300</v>
      </c>
      <c r="D6" t="s">
        <v>1799</v>
      </c>
      <c r="K6" t="s">
        <v>4584</v>
      </c>
      <c r="L6" t="s">
        <v>4585</v>
      </c>
      <c r="M6" t="s">
        <v>3868</v>
      </c>
      <c r="N6" t="s">
        <v>5269</v>
      </c>
    </row>
    <row r="7" spans="1:14" x14ac:dyDescent="0.25">
      <c r="A7" t="s">
        <v>1856</v>
      </c>
      <c r="B7">
        <v>-300</v>
      </c>
      <c r="C7">
        <v>300</v>
      </c>
      <c r="D7" t="s">
        <v>1857</v>
      </c>
      <c r="K7" t="s">
        <v>4614</v>
      </c>
      <c r="L7" t="s">
        <v>4612</v>
      </c>
      <c r="M7" t="s">
        <v>3870</v>
      </c>
      <c r="N7" t="s">
        <v>5270</v>
      </c>
    </row>
    <row r="8" spans="1:14" x14ac:dyDescent="0.25">
      <c r="A8" t="s">
        <v>1886</v>
      </c>
      <c r="B8">
        <v>-300</v>
      </c>
      <c r="C8">
        <v>300</v>
      </c>
      <c r="D8" t="s">
        <v>1887</v>
      </c>
      <c r="K8" t="s">
        <v>4647</v>
      </c>
      <c r="L8" t="s">
        <v>4648</v>
      </c>
      <c r="M8" t="s">
        <v>3868</v>
      </c>
      <c r="N8" t="s">
        <v>5271</v>
      </c>
    </row>
    <row r="9" spans="1:14" x14ac:dyDescent="0.25">
      <c r="A9" t="s">
        <v>1904</v>
      </c>
      <c r="B9">
        <v>-300</v>
      </c>
      <c r="C9">
        <v>300</v>
      </c>
      <c r="D9" t="s">
        <v>1905</v>
      </c>
      <c r="K9" t="s">
        <v>4748</v>
      </c>
      <c r="L9" t="s">
        <v>4749</v>
      </c>
      <c r="M9" t="s">
        <v>3868</v>
      </c>
      <c r="N9" t="s">
        <v>5272</v>
      </c>
    </row>
    <row r="10" spans="1:14" x14ac:dyDescent="0.25">
      <c r="A10" t="s">
        <v>1935</v>
      </c>
      <c r="B10">
        <v>-300</v>
      </c>
      <c r="C10">
        <v>300</v>
      </c>
      <c r="D10" t="s">
        <v>1936</v>
      </c>
      <c r="K10" t="s">
        <v>5073</v>
      </c>
      <c r="L10" t="s">
        <v>5074</v>
      </c>
      <c r="M10" t="s">
        <v>3868</v>
      </c>
      <c r="N10" t="s">
        <v>5273</v>
      </c>
    </row>
    <row r="11" spans="1:14" x14ac:dyDescent="0.25">
      <c r="A11" t="s">
        <v>1997</v>
      </c>
      <c r="B11">
        <v>-300</v>
      </c>
      <c r="C11">
        <v>300</v>
      </c>
      <c r="D11" t="s">
        <v>1998</v>
      </c>
      <c r="K11" t="s">
        <v>5115</v>
      </c>
      <c r="L11" t="s">
        <v>5116</v>
      </c>
      <c r="M11" t="s">
        <v>3868</v>
      </c>
      <c r="N11" t="s">
        <v>5274</v>
      </c>
    </row>
    <row r="12" spans="1:14" x14ac:dyDescent="0.25">
      <c r="A12" t="s">
        <v>2015</v>
      </c>
      <c r="B12">
        <v>-300</v>
      </c>
      <c r="C12">
        <v>300</v>
      </c>
      <c r="D12" t="s">
        <v>2016</v>
      </c>
      <c r="K12" t="s">
        <v>5221</v>
      </c>
      <c r="L12" t="s">
        <v>5222</v>
      </c>
      <c r="M12" t="s">
        <v>3904</v>
      </c>
      <c r="N12" t="s">
        <v>5275</v>
      </c>
    </row>
    <row r="13" spans="1:14" x14ac:dyDescent="0.25">
      <c r="A13" t="s">
        <v>2037</v>
      </c>
      <c r="B13">
        <v>-300</v>
      </c>
      <c r="C13">
        <v>300</v>
      </c>
      <c r="D13" t="s">
        <v>2038</v>
      </c>
      <c r="K13" t="s">
        <v>5228</v>
      </c>
      <c r="L13" t="s">
        <v>5229</v>
      </c>
      <c r="M13" t="s">
        <v>3868</v>
      </c>
      <c r="N13" t="s">
        <v>5276</v>
      </c>
    </row>
    <row r="14" spans="1:14" x14ac:dyDescent="0.25">
      <c r="A14" t="s">
        <v>2041</v>
      </c>
      <c r="B14">
        <v>-300</v>
      </c>
      <c r="C14">
        <v>300</v>
      </c>
      <c r="D14" t="s">
        <v>2042</v>
      </c>
      <c r="K14" t="s">
        <v>5238</v>
      </c>
      <c r="L14" t="s">
        <v>5239</v>
      </c>
      <c r="M14" t="s">
        <v>3904</v>
      </c>
      <c r="N14" t="s">
        <v>5277</v>
      </c>
    </row>
    <row r="15" spans="1:14" x14ac:dyDescent="0.25">
      <c r="A15" t="s">
        <v>2047</v>
      </c>
      <c r="B15">
        <v>-300</v>
      </c>
      <c r="C15">
        <v>300</v>
      </c>
      <c r="D15" t="s">
        <v>2048</v>
      </c>
    </row>
    <row r="16" spans="1:14" x14ac:dyDescent="0.25">
      <c r="A16" t="s">
        <v>1682</v>
      </c>
      <c r="B16">
        <v>-300</v>
      </c>
      <c r="C16">
        <v>300</v>
      </c>
      <c r="D16" t="s">
        <v>1683</v>
      </c>
    </row>
    <row r="17" spans="1:4" x14ac:dyDescent="0.25">
      <c r="A17" t="s">
        <v>1684</v>
      </c>
      <c r="B17">
        <v>-300</v>
      </c>
      <c r="C17">
        <v>300</v>
      </c>
      <c r="D17" t="s">
        <v>1685</v>
      </c>
    </row>
    <row r="18" spans="1:4" x14ac:dyDescent="0.25">
      <c r="A18" t="s">
        <v>1686</v>
      </c>
      <c r="B18">
        <v>-300</v>
      </c>
      <c r="C18">
        <v>300</v>
      </c>
      <c r="D18" t="s">
        <v>1687</v>
      </c>
    </row>
    <row r="19" spans="1:4" x14ac:dyDescent="0.25">
      <c r="A19" t="s">
        <v>1688</v>
      </c>
      <c r="B19">
        <v>-300</v>
      </c>
      <c r="C19">
        <v>300</v>
      </c>
      <c r="D19" t="s">
        <v>1689</v>
      </c>
    </row>
    <row r="20" spans="1:4" x14ac:dyDescent="0.25">
      <c r="A20" t="s">
        <v>1690</v>
      </c>
      <c r="B20">
        <v>-300</v>
      </c>
      <c r="C20">
        <v>300</v>
      </c>
      <c r="D20" t="s">
        <v>1691</v>
      </c>
    </row>
    <row r="21" spans="1:4" x14ac:dyDescent="0.25">
      <c r="A21" t="s">
        <v>1692</v>
      </c>
      <c r="B21">
        <v>-300</v>
      </c>
      <c r="C21">
        <v>300</v>
      </c>
      <c r="D21" t="s">
        <v>1693</v>
      </c>
    </row>
    <row r="22" spans="1:4" x14ac:dyDescent="0.25">
      <c r="A22" t="s">
        <v>1694</v>
      </c>
      <c r="B22">
        <v>-300</v>
      </c>
      <c r="C22">
        <v>300</v>
      </c>
      <c r="D22" t="s">
        <v>1695</v>
      </c>
    </row>
    <row r="23" spans="1:4" x14ac:dyDescent="0.25">
      <c r="A23" t="s">
        <v>1696</v>
      </c>
      <c r="B23">
        <v>-300</v>
      </c>
      <c r="C23">
        <v>300</v>
      </c>
      <c r="D23" t="s">
        <v>1697</v>
      </c>
    </row>
    <row r="24" spans="1:4" x14ac:dyDescent="0.25">
      <c r="A24" t="s">
        <v>1698</v>
      </c>
      <c r="B24">
        <v>-300</v>
      </c>
      <c r="C24">
        <v>300</v>
      </c>
      <c r="D24" t="s">
        <v>1699</v>
      </c>
    </row>
    <row r="25" spans="1:4" x14ac:dyDescent="0.25">
      <c r="A25" t="s">
        <v>1702</v>
      </c>
      <c r="B25">
        <v>-300</v>
      </c>
      <c r="C25">
        <v>300</v>
      </c>
      <c r="D25" t="s">
        <v>1703</v>
      </c>
    </row>
    <row r="26" spans="1:4" x14ac:dyDescent="0.25">
      <c r="A26" t="s">
        <v>1704</v>
      </c>
      <c r="B26">
        <v>-300</v>
      </c>
      <c r="C26">
        <v>300</v>
      </c>
      <c r="D26" t="s">
        <v>1705</v>
      </c>
    </row>
    <row r="27" spans="1:4" x14ac:dyDescent="0.25">
      <c r="A27" t="s">
        <v>1706</v>
      </c>
      <c r="B27">
        <v>-300</v>
      </c>
      <c r="C27">
        <v>300</v>
      </c>
      <c r="D27" t="s">
        <v>1707</v>
      </c>
    </row>
    <row r="28" spans="1:4" x14ac:dyDescent="0.25">
      <c r="A28" t="s">
        <v>1708</v>
      </c>
      <c r="B28">
        <v>-300</v>
      </c>
      <c r="C28">
        <v>300</v>
      </c>
      <c r="D28" t="s">
        <v>1709</v>
      </c>
    </row>
    <row r="29" spans="1:4" x14ac:dyDescent="0.25">
      <c r="A29" t="s">
        <v>1710</v>
      </c>
      <c r="B29">
        <v>-300</v>
      </c>
      <c r="C29">
        <v>300</v>
      </c>
      <c r="D29" t="s">
        <v>1711</v>
      </c>
    </row>
    <row r="30" spans="1:4" x14ac:dyDescent="0.25">
      <c r="A30" t="s">
        <v>1712</v>
      </c>
      <c r="B30">
        <v>-300</v>
      </c>
      <c r="C30">
        <v>300</v>
      </c>
      <c r="D30" t="s">
        <v>1713</v>
      </c>
    </row>
    <row r="31" spans="1:4" x14ac:dyDescent="0.25">
      <c r="A31" t="s">
        <v>1714</v>
      </c>
      <c r="B31">
        <v>-300</v>
      </c>
      <c r="C31">
        <v>300</v>
      </c>
      <c r="D31" t="s">
        <v>1715</v>
      </c>
    </row>
    <row r="32" spans="1:4" x14ac:dyDescent="0.25">
      <c r="A32" t="s">
        <v>1716</v>
      </c>
      <c r="B32">
        <v>-300</v>
      </c>
      <c r="C32">
        <v>300</v>
      </c>
      <c r="D32" t="s">
        <v>1717</v>
      </c>
    </row>
    <row r="33" spans="1:4" x14ac:dyDescent="0.25">
      <c r="A33" t="s">
        <v>1718</v>
      </c>
      <c r="B33">
        <v>-300</v>
      </c>
      <c r="C33">
        <v>300</v>
      </c>
      <c r="D33" t="s">
        <v>1719</v>
      </c>
    </row>
    <row r="34" spans="1:4" x14ac:dyDescent="0.25">
      <c r="A34" t="s">
        <v>1720</v>
      </c>
      <c r="B34">
        <v>-300</v>
      </c>
      <c r="C34">
        <v>300</v>
      </c>
      <c r="D34" t="s">
        <v>1721</v>
      </c>
    </row>
    <row r="35" spans="1:4" x14ac:dyDescent="0.25">
      <c r="A35" t="s">
        <v>1722</v>
      </c>
      <c r="B35">
        <v>-300</v>
      </c>
      <c r="C35">
        <v>300</v>
      </c>
      <c r="D35" t="s">
        <v>1723</v>
      </c>
    </row>
    <row r="36" spans="1:4" x14ac:dyDescent="0.25">
      <c r="A36" t="s">
        <v>1726</v>
      </c>
      <c r="B36">
        <v>-300</v>
      </c>
      <c r="C36">
        <v>300</v>
      </c>
      <c r="D36" t="s">
        <v>1727</v>
      </c>
    </row>
    <row r="37" spans="1:4" x14ac:dyDescent="0.25">
      <c r="A37" t="s">
        <v>1728</v>
      </c>
      <c r="B37">
        <v>-300</v>
      </c>
      <c r="C37">
        <v>300</v>
      </c>
      <c r="D37" t="s">
        <v>1729</v>
      </c>
    </row>
    <row r="38" spans="1:4" x14ac:dyDescent="0.25">
      <c r="A38" t="s">
        <v>1730</v>
      </c>
      <c r="B38">
        <v>-300</v>
      </c>
      <c r="C38">
        <v>300</v>
      </c>
      <c r="D38" t="s">
        <v>1731</v>
      </c>
    </row>
    <row r="39" spans="1:4" x14ac:dyDescent="0.25">
      <c r="A39" t="s">
        <v>1732</v>
      </c>
      <c r="B39">
        <v>-300</v>
      </c>
      <c r="C39">
        <v>300</v>
      </c>
      <c r="D39" t="s">
        <v>1733</v>
      </c>
    </row>
    <row r="40" spans="1:4" x14ac:dyDescent="0.25">
      <c r="A40" t="s">
        <v>1734</v>
      </c>
      <c r="B40">
        <v>-300</v>
      </c>
      <c r="C40">
        <v>300</v>
      </c>
      <c r="D40" t="s">
        <v>1735</v>
      </c>
    </row>
    <row r="41" spans="1:4" x14ac:dyDescent="0.25">
      <c r="A41" t="s">
        <v>1736</v>
      </c>
      <c r="B41">
        <v>-300</v>
      </c>
      <c r="C41">
        <v>300</v>
      </c>
      <c r="D41" t="s">
        <v>1737</v>
      </c>
    </row>
    <row r="42" spans="1:4" x14ac:dyDescent="0.25">
      <c r="A42" t="s">
        <v>1738</v>
      </c>
      <c r="B42">
        <v>-300</v>
      </c>
      <c r="C42">
        <v>300</v>
      </c>
      <c r="D42" t="s">
        <v>1739</v>
      </c>
    </row>
    <row r="43" spans="1:4" x14ac:dyDescent="0.25">
      <c r="A43" t="s">
        <v>1740</v>
      </c>
      <c r="B43">
        <v>-300</v>
      </c>
      <c r="C43">
        <v>300</v>
      </c>
      <c r="D43" t="s">
        <v>1741</v>
      </c>
    </row>
    <row r="44" spans="1:4" x14ac:dyDescent="0.25">
      <c r="A44" t="s">
        <v>1742</v>
      </c>
      <c r="B44">
        <v>-300</v>
      </c>
      <c r="C44">
        <v>300</v>
      </c>
      <c r="D44" t="s">
        <v>1743</v>
      </c>
    </row>
    <row r="45" spans="1:4" x14ac:dyDescent="0.25">
      <c r="A45" t="s">
        <v>1744</v>
      </c>
      <c r="B45">
        <v>-300</v>
      </c>
      <c r="C45">
        <v>300</v>
      </c>
      <c r="D45" t="s">
        <v>1745</v>
      </c>
    </row>
    <row r="46" spans="1:4" x14ac:dyDescent="0.25">
      <c r="A46" t="s">
        <v>1746</v>
      </c>
      <c r="B46">
        <v>-300</v>
      </c>
      <c r="C46">
        <v>300</v>
      </c>
      <c r="D46" t="s">
        <v>1747</v>
      </c>
    </row>
    <row r="47" spans="1:4" x14ac:dyDescent="0.25">
      <c r="A47" t="s">
        <v>1748</v>
      </c>
      <c r="B47">
        <v>-300</v>
      </c>
      <c r="C47">
        <v>300</v>
      </c>
      <c r="D47" t="s">
        <v>1749</v>
      </c>
    </row>
    <row r="48" spans="1:4" x14ac:dyDescent="0.25">
      <c r="A48" t="s">
        <v>1754</v>
      </c>
      <c r="B48">
        <v>-300</v>
      </c>
      <c r="C48">
        <v>300</v>
      </c>
      <c r="D48" t="s">
        <v>1755</v>
      </c>
    </row>
    <row r="49" spans="1:4" x14ac:dyDescent="0.25">
      <c r="A49" t="s">
        <v>1756</v>
      </c>
      <c r="B49">
        <v>-300</v>
      </c>
      <c r="C49">
        <v>300</v>
      </c>
      <c r="D49" t="s">
        <v>1757</v>
      </c>
    </row>
    <row r="50" spans="1:4" x14ac:dyDescent="0.25">
      <c r="A50" t="s">
        <v>1758</v>
      </c>
      <c r="B50">
        <v>-300</v>
      </c>
      <c r="C50">
        <v>300</v>
      </c>
      <c r="D50" t="s">
        <v>1759</v>
      </c>
    </row>
    <row r="51" spans="1:4" x14ac:dyDescent="0.25">
      <c r="A51" t="s">
        <v>1760</v>
      </c>
      <c r="B51">
        <v>-300</v>
      </c>
      <c r="C51">
        <v>300</v>
      </c>
      <c r="D51" t="s">
        <v>1761</v>
      </c>
    </row>
    <row r="52" spans="1:4" x14ac:dyDescent="0.25">
      <c r="A52" t="s">
        <v>1762</v>
      </c>
      <c r="B52">
        <v>-300</v>
      </c>
      <c r="C52">
        <v>300</v>
      </c>
      <c r="D52" t="s">
        <v>1763</v>
      </c>
    </row>
    <row r="53" spans="1:4" x14ac:dyDescent="0.25">
      <c r="A53" t="s">
        <v>1764</v>
      </c>
      <c r="B53">
        <v>-300</v>
      </c>
      <c r="C53">
        <v>300</v>
      </c>
      <c r="D53" t="s">
        <v>1765</v>
      </c>
    </row>
    <row r="54" spans="1:4" x14ac:dyDescent="0.25">
      <c r="A54" t="s">
        <v>1766</v>
      </c>
      <c r="B54">
        <v>-300</v>
      </c>
      <c r="C54">
        <v>300</v>
      </c>
      <c r="D54" t="s">
        <v>1767</v>
      </c>
    </row>
    <row r="55" spans="1:4" x14ac:dyDescent="0.25">
      <c r="A55" t="s">
        <v>1768</v>
      </c>
      <c r="B55">
        <v>-300</v>
      </c>
      <c r="C55">
        <v>300</v>
      </c>
      <c r="D55" t="s">
        <v>1769</v>
      </c>
    </row>
    <row r="56" spans="1:4" x14ac:dyDescent="0.25">
      <c r="A56" t="s">
        <v>1770</v>
      </c>
      <c r="B56">
        <v>-300</v>
      </c>
      <c r="C56">
        <v>300</v>
      </c>
      <c r="D56" t="s">
        <v>1771</v>
      </c>
    </row>
    <row r="57" spans="1:4" x14ac:dyDescent="0.25">
      <c r="A57" t="s">
        <v>1772</v>
      </c>
      <c r="B57">
        <v>-300</v>
      </c>
      <c r="C57">
        <v>300</v>
      </c>
      <c r="D57" t="s">
        <v>1773</v>
      </c>
    </row>
    <row r="58" spans="1:4" x14ac:dyDescent="0.25">
      <c r="A58" t="s">
        <v>1774</v>
      </c>
      <c r="B58">
        <v>-300</v>
      </c>
      <c r="C58">
        <v>300</v>
      </c>
      <c r="D58" t="s">
        <v>1775</v>
      </c>
    </row>
    <row r="59" spans="1:4" x14ac:dyDescent="0.25">
      <c r="A59" t="s">
        <v>1776</v>
      </c>
      <c r="B59">
        <v>-300</v>
      </c>
      <c r="C59">
        <v>300</v>
      </c>
      <c r="D59" t="s">
        <v>1777</v>
      </c>
    </row>
    <row r="60" spans="1:4" x14ac:dyDescent="0.25">
      <c r="A60" t="s">
        <v>1778</v>
      </c>
      <c r="B60">
        <v>-300</v>
      </c>
      <c r="C60">
        <v>300</v>
      </c>
      <c r="D60" t="s">
        <v>1779</v>
      </c>
    </row>
    <row r="61" spans="1:4" x14ac:dyDescent="0.25">
      <c r="A61" t="s">
        <v>1780</v>
      </c>
      <c r="B61">
        <v>-300</v>
      </c>
      <c r="C61">
        <v>300</v>
      </c>
      <c r="D61" t="s">
        <v>1781</v>
      </c>
    </row>
    <row r="62" spans="1:4" x14ac:dyDescent="0.25">
      <c r="A62" t="s">
        <v>1782</v>
      </c>
      <c r="B62">
        <v>-300</v>
      </c>
      <c r="C62">
        <v>300</v>
      </c>
      <c r="D62" t="s">
        <v>1783</v>
      </c>
    </row>
    <row r="63" spans="1:4" x14ac:dyDescent="0.25">
      <c r="A63" t="s">
        <v>1784</v>
      </c>
      <c r="B63">
        <v>-300</v>
      </c>
      <c r="C63">
        <v>300</v>
      </c>
      <c r="D63" t="s">
        <v>1785</v>
      </c>
    </row>
    <row r="64" spans="1:4" x14ac:dyDescent="0.25">
      <c r="A64" t="s">
        <v>1786</v>
      </c>
      <c r="B64">
        <v>-300</v>
      </c>
      <c r="C64">
        <v>300</v>
      </c>
      <c r="D64" t="s">
        <v>1787</v>
      </c>
    </row>
    <row r="65" spans="1:4" x14ac:dyDescent="0.25">
      <c r="A65" t="s">
        <v>1788</v>
      </c>
      <c r="B65">
        <v>-300</v>
      </c>
      <c r="C65">
        <v>300</v>
      </c>
      <c r="D65" t="s">
        <v>1789</v>
      </c>
    </row>
    <row r="66" spans="1:4" x14ac:dyDescent="0.25">
      <c r="A66" t="s">
        <v>1790</v>
      </c>
      <c r="B66">
        <v>-300</v>
      </c>
      <c r="C66">
        <v>300</v>
      </c>
      <c r="D66" t="s">
        <v>1791</v>
      </c>
    </row>
    <row r="67" spans="1:4" x14ac:dyDescent="0.25">
      <c r="A67" t="s">
        <v>1792</v>
      </c>
      <c r="B67">
        <v>-300</v>
      </c>
      <c r="C67">
        <v>300</v>
      </c>
      <c r="D67" t="s">
        <v>1793</v>
      </c>
    </row>
    <row r="68" spans="1:4" x14ac:dyDescent="0.25">
      <c r="A68" t="s">
        <v>1794</v>
      </c>
      <c r="B68">
        <v>-300</v>
      </c>
      <c r="C68">
        <v>300</v>
      </c>
      <c r="D68" t="s">
        <v>1795</v>
      </c>
    </row>
    <row r="69" spans="1:4" x14ac:dyDescent="0.25">
      <c r="A69" t="s">
        <v>1796</v>
      </c>
      <c r="B69">
        <v>-300</v>
      </c>
      <c r="C69">
        <v>300</v>
      </c>
      <c r="D69" t="s">
        <v>1797</v>
      </c>
    </row>
    <row r="70" spans="1:4" x14ac:dyDescent="0.25">
      <c r="A70" t="s">
        <v>1800</v>
      </c>
      <c r="B70">
        <v>-300</v>
      </c>
      <c r="C70">
        <v>300</v>
      </c>
      <c r="D70" t="s">
        <v>1801</v>
      </c>
    </row>
    <row r="71" spans="1:4" x14ac:dyDescent="0.25">
      <c r="A71" t="s">
        <v>1802</v>
      </c>
      <c r="B71">
        <v>-300</v>
      </c>
      <c r="C71">
        <v>300</v>
      </c>
      <c r="D71" t="s">
        <v>1803</v>
      </c>
    </row>
    <row r="72" spans="1:4" x14ac:dyDescent="0.25">
      <c r="A72" t="s">
        <v>1804</v>
      </c>
      <c r="B72">
        <v>-300</v>
      </c>
      <c r="C72">
        <v>300</v>
      </c>
      <c r="D72" t="s">
        <v>1805</v>
      </c>
    </row>
    <row r="73" spans="1:4" x14ac:dyDescent="0.25">
      <c r="A73" t="s">
        <v>1806</v>
      </c>
      <c r="B73">
        <v>-300</v>
      </c>
      <c r="C73">
        <v>300</v>
      </c>
      <c r="D73" t="s">
        <v>1807</v>
      </c>
    </row>
    <row r="74" spans="1:4" x14ac:dyDescent="0.25">
      <c r="A74" t="s">
        <v>1808</v>
      </c>
      <c r="B74">
        <v>-300</v>
      </c>
      <c r="C74">
        <v>300</v>
      </c>
      <c r="D74" t="s">
        <v>1809</v>
      </c>
    </row>
    <row r="75" spans="1:4" x14ac:dyDescent="0.25">
      <c r="A75" t="s">
        <v>1810</v>
      </c>
      <c r="B75">
        <v>-300</v>
      </c>
      <c r="C75">
        <v>300</v>
      </c>
      <c r="D75" t="s">
        <v>1811</v>
      </c>
    </row>
    <row r="76" spans="1:4" x14ac:dyDescent="0.25">
      <c r="A76" t="s">
        <v>1812</v>
      </c>
      <c r="B76">
        <v>-300</v>
      </c>
      <c r="C76">
        <v>300</v>
      </c>
      <c r="D76" t="s">
        <v>1813</v>
      </c>
    </row>
    <row r="77" spans="1:4" x14ac:dyDescent="0.25">
      <c r="A77" t="s">
        <v>1814</v>
      </c>
      <c r="B77">
        <v>-300</v>
      </c>
      <c r="C77">
        <v>300</v>
      </c>
      <c r="D77" t="s">
        <v>1815</v>
      </c>
    </row>
    <row r="78" spans="1:4" x14ac:dyDescent="0.25">
      <c r="A78" t="s">
        <v>1816</v>
      </c>
      <c r="B78">
        <v>-300</v>
      </c>
      <c r="C78">
        <v>300</v>
      </c>
      <c r="D78" t="s">
        <v>1817</v>
      </c>
    </row>
    <row r="79" spans="1:4" x14ac:dyDescent="0.25">
      <c r="A79" t="s">
        <v>1818</v>
      </c>
      <c r="B79">
        <v>-300</v>
      </c>
      <c r="C79">
        <v>300</v>
      </c>
      <c r="D79" t="s">
        <v>1819</v>
      </c>
    </row>
    <row r="80" spans="1:4" x14ac:dyDescent="0.25">
      <c r="A80" t="s">
        <v>1820</v>
      </c>
      <c r="B80">
        <v>-300</v>
      </c>
      <c r="C80">
        <v>300</v>
      </c>
      <c r="D80" t="s">
        <v>1821</v>
      </c>
    </row>
    <row r="81" spans="1:4" x14ac:dyDescent="0.25">
      <c r="A81" t="s">
        <v>1822</v>
      </c>
      <c r="B81">
        <v>-300</v>
      </c>
      <c r="C81">
        <v>300</v>
      </c>
      <c r="D81" t="s">
        <v>1823</v>
      </c>
    </row>
    <row r="82" spans="1:4" x14ac:dyDescent="0.25">
      <c r="A82" t="s">
        <v>1824</v>
      </c>
      <c r="B82">
        <v>-300</v>
      </c>
      <c r="C82">
        <v>300</v>
      </c>
      <c r="D82" t="s">
        <v>1825</v>
      </c>
    </row>
    <row r="83" spans="1:4" x14ac:dyDescent="0.25">
      <c r="A83" t="s">
        <v>1826</v>
      </c>
      <c r="B83">
        <v>-300</v>
      </c>
      <c r="C83">
        <v>300</v>
      </c>
      <c r="D83" t="s">
        <v>1827</v>
      </c>
    </row>
    <row r="84" spans="1:4" x14ac:dyDescent="0.25">
      <c r="A84" t="s">
        <v>1828</v>
      </c>
      <c r="B84">
        <v>-300</v>
      </c>
      <c r="C84">
        <v>300</v>
      </c>
      <c r="D84" t="s">
        <v>1829</v>
      </c>
    </row>
    <row r="85" spans="1:4" x14ac:dyDescent="0.25">
      <c r="A85" t="s">
        <v>1830</v>
      </c>
      <c r="B85">
        <v>-300</v>
      </c>
      <c r="C85">
        <v>300</v>
      </c>
      <c r="D85" t="s">
        <v>1831</v>
      </c>
    </row>
    <row r="86" spans="1:4" x14ac:dyDescent="0.25">
      <c r="A86" t="s">
        <v>1832</v>
      </c>
      <c r="B86">
        <v>-300</v>
      </c>
      <c r="C86">
        <v>300</v>
      </c>
      <c r="D86" t="s">
        <v>1833</v>
      </c>
    </row>
    <row r="87" spans="1:4" x14ac:dyDescent="0.25">
      <c r="A87" t="s">
        <v>1834</v>
      </c>
      <c r="B87">
        <v>-300</v>
      </c>
      <c r="C87">
        <v>300</v>
      </c>
      <c r="D87" t="s">
        <v>1835</v>
      </c>
    </row>
    <row r="88" spans="1:4" x14ac:dyDescent="0.25">
      <c r="A88" t="s">
        <v>1836</v>
      </c>
      <c r="B88">
        <v>-300</v>
      </c>
      <c r="C88">
        <v>300</v>
      </c>
      <c r="D88" t="s">
        <v>1837</v>
      </c>
    </row>
    <row r="89" spans="1:4" x14ac:dyDescent="0.25">
      <c r="A89" t="s">
        <v>1838</v>
      </c>
      <c r="B89">
        <v>-300</v>
      </c>
      <c r="C89">
        <v>300</v>
      </c>
      <c r="D89" t="s">
        <v>1839</v>
      </c>
    </row>
    <row r="90" spans="1:4" x14ac:dyDescent="0.25">
      <c r="A90" t="s">
        <v>1840</v>
      </c>
      <c r="B90">
        <v>-300</v>
      </c>
      <c r="C90">
        <v>300</v>
      </c>
      <c r="D90" t="s">
        <v>1841</v>
      </c>
    </row>
    <row r="91" spans="1:4" x14ac:dyDescent="0.25">
      <c r="A91" t="s">
        <v>1842</v>
      </c>
      <c r="B91">
        <v>-300</v>
      </c>
      <c r="C91">
        <v>300</v>
      </c>
      <c r="D91" t="s">
        <v>1843</v>
      </c>
    </row>
    <row r="92" spans="1:4" x14ac:dyDescent="0.25">
      <c r="A92" t="s">
        <v>1844</v>
      </c>
      <c r="B92">
        <v>-300</v>
      </c>
      <c r="C92">
        <v>300</v>
      </c>
      <c r="D92" t="s">
        <v>1845</v>
      </c>
    </row>
    <row r="93" spans="1:4" x14ac:dyDescent="0.25">
      <c r="A93" t="s">
        <v>1846</v>
      </c>
      <c r="B93">
        <v>-300</v>
      </c>
      <c r="C93">
        <v>300</v>
      </c>
      <c r="D93" t="s">
        <v>1847</v>
      </c>
    </row>
    <row r="94" spans="1:4" x14ac:dyDescent="0.25">
      <c r="A94" t="s">
        <v>1848</v>
      </c>
      <c r="B94">
        <v>-300</v>
      </c>
      <c r="C94">
        <v>300</v>
      </c>
      <c r="D94" t="s">
        <v>1849</v>
      </c>
    </row>
    <row r="95" spans="1:4" x14ac:dyDescent="0.25">
      <c r="A95" t="s">
        <v>1850</v>
      </c>
      <c r="B95">
        <v>-300</v>
      </c>
      <c r="C95">
        <v>300</v>
      </c>
      <c r="D95" t="s">
        <v>1851</v>
      </c>
    </row>
    <row r="96" spans="1:4" x14ac:dyDescent="0.25">
      <c r="A96" t="s">
        <v>1852</v>
      </c>
      <c r="B96">
        <v>-300</v>
      </c>
      <c r="C96">
        <v>300</v>
      </c>
      <c r="D96" t="s">
        <v>1853</v>
      </c>
    </row>
    <row r="97" spans="1:4" x14ac:dyDescent="0.25">
      <c r="A97" t="s">
        <v>1854</v>
      </c>
      <c r="B97">
        <v>-300</v>
      </c>
      <c r="C97">
        <v>300</v>
      </c>
      <c r="D97" t="s">
        <v>1855</v>
      </c>
    </row>
    <row r="98" spans="1:4" x14ac:dyDescent="0.25">
      <c r="A98" t="s">
        <v>1858</v>
      </c>
      <c r="B98">
        <v>-300</v>
      </c>
      <c r="C98">
        <v>300</v>
      </c>
      <c r="D98" t="s">
        <v>1859</v>
      </c>
    </row>
    <row r="99" spans="1:4" x14ac:dyDescent="0.25">
      <c r="A99" t="s">
        <v>1860</v>
      </c>
      <c r="B99">
        <v>-300</v>
      </c>
      <c r="C99">
        <v>300</v>
      </c>
      <c r="D99" t="s">
        <v>1861</v>
      </c>
    </row>
    <row r="100" spans="1:4" x14ac:dyDescent="0.25">
      <c r="A100" t="s">
        <v>1862</v>
      </c>
      <c r="B100">
        <v>-300</v>
      </c>
      <c r="C100">
        <v>300</v>
      </c>
      <c r="D100" t="s">
        <v>1863</v>
      </c>
    </row>
    <row r="101" spans="1:4" x14ac:dyDescent="0.25">
      <c r="A101" t="s">
        <v>1864</v>
      </c>
      <c r="B101">
        <v>-300</v>
      </c>
      <c r="C101">
        <v>300</v>
      </c>
      <c r="D101" t="s">
        <v>1865</v>
      </c>
    </row>
    <row r="102" spans="1:4" x14ac:dyDescent="0.25">
      <c r="A102" t="s">
        <v>1866</v>
      </c>
      <c r="B102">
        <v>-300</v>
      </c>
      <c r="C102">
        <v>300</v>
      </c>
      <c r="D102" t="s">
        <v>1867</v>
      </c>
    </row>
    <row r="103" spans="1:4" x14ac:dyDescent="0.25">
      <c r="A103" t="s">
        <v>1868</v>
      </c>
      <c r="B103">
        <v>-300</v>
      </c>
      <c r="C103">
        <v>300</v>
      </c>
      <c r="D103" t="s">
        <v>1869</v>
      </c>
    </row>
    <row r="104" spans="1:4" x14ac:dyDescent="0.25">
      <c r="A104" t="s">
        <v>1870</v>
      </c>
      <c r="B104">
        <v>-300</v>
      </c>
      <c r="C104">
        <v>300</v>
      </c>
      <c r="D104" t="s">
        <v>1871</v>
      </c>
    </row>
    <row r="105" spans="1:4" x14ac:dyDescent="0.25">
      <c r="A105" t="s">
        <v>1872</v>
      </c>
      <c r="B105">
        <v>-300</v>
      </c>
      <c r="C105">
        <v>300</v>
      </c>
      <c r="D105" t="s">
        <v>1873</v>
      </c>
    </row>
    <row r="106" spans="1:4" x14ac:dyDescent="0.25">
      <c r="A106" t="s">
        <v>1874</v>
      </c>
      <c r="B106">
        <v>-300</v>
      </c>
      <c r="C106">
        <v>300</v>
      </c>
      <c r="D106" t="s">
        <v>1875</v>
      </c>
    </row>
    <row r="107" spans="1:4" x14ac:dyDescent="0.25">
      <c r="A107" t="s">
        <v>1876</v>
      </c>
      <c r="B107">
        <v>-300</v>
      </c>
      <c r="C107">
        <v>300</v>
      </c>
      <c r="D107" t="s">
        <v>1877</v>
      </c>
    </row>
    <row r="108" spans="1:4" x14ac:dyDescent="0.25">
      <c r="A108" t="s">
        <v>1878</v>
      </c>
      <c r="B108">
        <v>-300</v>
      </c>
      <c r="C108">
        <v>300</v>
      </c>
      <c r="D108" t="s">
        <v>1879</v>
      </c>
    </row>
    <row r="109" spans="1:4" x14ac:dyDescent="0.25">
      <c r="A109" t="s">
        <v>1880</v>
      </c>
      <c r="B109">
        <v>-300</v>
      </c>
      <c r="C109">
        <v>300</v>
      </c>
      <c r="D109" t="s">
        <v>1881</v>
      </c>
    </row>
    <row r="110" spans="1:4" x14ac:dyDescent="0.25">
      <c r="A110" t="s">
        <v>1882</v>
      </c>
      <c r="B110">
        <v>-300</v>
      </c>
      <c r="C110">
        <v>300</v>
      </c>
      <c r="D110" t="s">
        <v>1883</v>
      </c>
    </row>
    <row r="111" spans="1:4" x14ac:dyDescent="0.25">
      <c r="A111" t="s">
        <v>1884</v>
      </c>
      <c r="B111">
        <v>-300</v>
      </c>
      <c r="C111">
        <v>300</v>
      </c>
      <c r="D111" t="s">
        <v>1885</v>
      </c>
    </row>
    <row r="112" spans="1:4" x14ac:dyDescent="0.25">
      <c r="A112" t="s">
        <v>1888</v>
      </c>
      <c r="B112">
        <v>-300</v>
      </c>
      <c r="C112">
        <v>300</v>
      </c>
      <c r="D112" t="s">
        <v>1889</v>
      </c>
    </row>
    <row r="113" spans="1:4" x14ac:dyDescent="0.25">
      <c r="A113" t="s">
        <v>1890</v>
      </c>
      <c r="B113">
        <v>-300</v>
      </c>
      <c r="C113">
        <v>300</v>
      </c>
      <c r="D113" t="s">
        <v>1891</v>
      </c>
    </row>
    <row r="114" spans="1:4" x14ac:dyDescent="0.25">
      <c r="A114" t="s">
        <v>1892</v>
      </c>
      <c r="B114">
        <v>-300</v>
      </c>
      <c r="C114">
        <v>300</v>
      </c>
      <c r="D114" t="s">
        <v>1893</v>
      </c>
    </row>
    <row r="115" spans="1:4" x14ac:dyDescent="0.25">
      <c r="A115" t="s">
        <v>1894</v>
      </c>
      <c r="B115">
        <v>-300</v>
      </c>
      <c r="C115">
        <v>300</v>
      </c>
      <c r="D115" t="s">
        <v>1895</v>
      </c>
    </row>
    <row r="116" spans="1:4" x14ac:dyDescent="0.25">
      <c r="A116" t="s">
        <v>1896</v>
      </c>
      <c r="B116">
        <v>-300</v>
      </c>
      <c r="C116">
        <v>300</v>
      </c>
      <c r="D116" t="s">
        <v>1897</v>
      </c>
    </row>
    <row r="117" spans="1:4" x14ac:dyDescent="0.25">
      <c r="A117" t="s">
        <v>1898</v>
      </c>
      <c r="B117">
        <v>-300</v>
      </c>
      <c r="C117">
        <v>300</v>
      </c>
      <c r="D117" t="s">
        <v>1899</v>
      </c>
    </row>
    <row r="118" spans="1:4" x14ac:dyDescent="0.25">
      <c r="A118" t="s">
        <v>1900</v>
      </c>
      <c r="B118">
        <v>-300</v>
      </c>
      <c r="C118">
        <v>300</v>
      </c>
      <c r="D118" t="s">
        <v>1901</v>
      </c>
    </row>
    <row r="119" spans="1:4" x14ac:dyDescent="0.25">
      <c r="A119" t="s">
        <v>1902</v>
      </c>
      <c r="B119">
        <v>-300</v>
      </c>
      <c r="C119">
        <v>300</v>
      </c>
      <c r="D119" t="s">
        <v>1903</v>
      </c>
    </row>
    <row r="120" spans="1:4" x14ac:dyDescent="0.25">
      <c r="A120" t="s">
        <v>1906</v>
      </c>
      <c r="B120">
        <v>-300</v>
      </c>
      <c r="C120">
        <v>300</v>
      </c>
      <c r="D120" t="s">
        <v>1907</v>
      </c>
    </row>
    <row r="121" spans="1:4" x14ac:dyDescent="0.25">
      <c r="A121" t="s">
        <v>1908</v>
      </c>
      <c r="B121">
        <v>-300</v>
      </c>
      <c r="C121">
        <v>300</v>
      </c>
      <c r="D121" t="s">
        <v>1909</v>
      </c>
    </row>
    <row r="122" spans="1:4" x14ac:dyDescent="0.25">
      <c r="A122" t="s">
        <v>1910</v>
      </c>
      <c r="B122">
        <v>-300</v>
      </c>
      <c r="C122">
        <v>300</v>
      </c>
      <c r="D122" t="s">
        <v>1911</v>
      </c>
    </row>
    <row r="123" spans="1:4" x14ac:dyDescent="0.25">
      <c r="A123" t="s">
        <v>1912</v>
      </c>
      <c r="B123">
        <v>-300</v>
      </c>
      <c r="C123">
        <v>300</v>
      </c>
      <c r="D123" t="s">
        <v>1913</v>
      </c>
    </row>
    <row r="124" spans="1:4" x14ac:dyDescent="0.25">
      <c r="A124" t="s">
        <v>1914</v>
      </c>
      <c r="B124">
        <v>-300</v>
      </c>
      <c r="C124">
        <v>300</v>
      </c>
      <c r="D124" t="s">
        <v>1915</v>
      </c>
    </row>
    <row r="125" spans="1:4" x14ac:dyDescent="0.25">
      <c r="A125" t="s">
        <v>1916</v>
      </c>
      <c r="B125">
        <v>-300</v>
      </c>
      <c r="C125">
        <v>300</v>
      </c>
      <c r="D125" t="s">
        <v>1917</v>
      </c>
    </row>
    <row r="126" spans="1:4" x14ac:dyDescent="0.25">
      <c r="A126" t="s">
        <v>1918</v>
      </c>
      <c r="B126">
        <v>-300</v>
      </c>
      <c r="C126">
        <v>300</v>
      </c>
      <c r="D126" t="s">
        <v>1919</v>
      </c>
    </row>
    <row r="127" spans="1:4" x14ac:dyDescent="0.25">
      <c r="A127" t="s">
        <v>1920</v>
      </c>
      <c r="B127">
        <v>-300</v>
      </c>
      <c r="C127">
        <v>300</v>
      </c>
      <c r="D127" t="s">
        <v>1921</v>
      </c>
    </row>
    <row r="128" spans="1:4" x14ac:dyDescent="0.25">
      <c r="A128" t="s">
        <v>1922</v>
      </c>
      <c r="B128">
        <v>-300</v>
      </c>
      <c r="C128">
        <v>300</v>
      </c>
      <c r="D128" t="s">
        <v>1923</v>
      </c>
    </row>
    <row r="129" spans="1:4" x14ac:dyDescent="0.25">
      <c r="A129" t="s">
        <v>1924</v>
      </c>
      <c r="B129">
        <v>-300</v>
      </c>
      <c r="C129">
        <v>300</v>
      </c>
      <c r="D129" t="s">
        <v>1925</v>
      </c>
    </row>
    <row r="130" spans="1:4" x14ac:dyDescent="0.25">
      <c r="A130" t="s">
        <v>1926</v>
      </c>
      <c r="B130">
        <v>-300</v>
      </c>
      <c r="C130">
        <v>300</v>
      </c>
      <c r="D130" t="s">
        <v>1927</v>
      </c>
    </row>
    <row r="131" spans="1:4" x14ac:dyDescent="0.25">
      <c r="A131" t="s">
        <v>1928</v>
      </c>
      <c r="B131">
        <v>-300</v>
      </c>
      <c r="C131">
        <v>300</v>
      </c>
      <c r="D131" t="s">
        <v>1929</v>
      </c>
    </row>
    <row r="132" spans="1:4" x14ac:dyDescent="0.25">
      <c r="A132" t="s">
        <v>1930</v>
      </c>
      <c r="B132">
        <v>-300</v>
      </c>
      <c r="C132">
        <v>300</v>
      </c>
      <c r="D132" t="s">
        <v>1931</v>
      </c>
    </row>
    <row r="133" spans="1:4" x14ac:dyDescent="0.25">
      <c r="A133" t="s">
        <v>1932</v>
      </c>
      <c r="B133">
        <v>-300</v>
      </c>
      <c r="C133">
        <v>300</v>
      </c>
      <c r="D133" t="s">
        <v>853</v>
      </c>
    </row>
    <row r="134" spans="1:4" x14ac:dyDescent="0.25">
      <c r="A134" t="s">
        <v>1933</v>
      </c>
      <c r="B134">
        <v>-300</v>
      </c>
      <c r="C134">
        <v>300</v>
      </c>
      <c r="D134" t="s">
        <v>851</v>
      </c>
    </row>
    <row r="135" spans="1:4" x14ac:dyDescent="0.25">
      <c r="A135" t="s">
        <v>1934</v>
      </c>
      <c r="B135">
        <v>-300</v>
      </c>
      <c r="C135">
        <v>300</v>
      </c>
      <c r="D135" t="s">
        <v>855</v>
      </c>
    </row>
    <row r="136" spans="1:4" x14ac:dyDescent="0.25">
      <c r="A136" t="s">
        <v>1937</v>
      </c>
      <c r="B136">
        <v>-300</v>
      </c>
      <c r="C136">
        <v>300</v>
      </c>
      <c r="D136" t="s">
        <v>1938</v>
      </c>
    </row>
    <row r="137" spans="1:4" x14ac:dyDescent="0.25">
      <c r="A137" t="s">
        <v>1939</v>
      </c>
      <c r="B137">
        <v>-300</v>
      </c>
      <c r="C137">
        <v>300</v>
      </c>
      <c r="D137" t="s">
        <v>1940</v>
      </c>
    </row>
    <row r="138" spans="1:4" x14ac:dyDescent="0.25">
      <c r="A138" t="s">
        <v>1941</v>
      </c>
      <c r="B138">
        <v>-300</v>
      </c>
      <c r="C138">
        <v>300</v>
      </c>
      <c r="D138" t="s">
        <v>1942</v>
      </c>
    </row>
    <row r="139" spans="1:4" x14ac:dyDescent="0.25">
      <c r="A139" t="s">
        <v>1943</v>
      </c>
      <c r="B139">
        <v>-300</v>
      </c>
      <c r="C139">
        <v>300</v>
      </c>
      <c r="D139" t="s">
        <v>1944</v>
      </c>
    </row>
    <row r="140" spans="1:4" x14ac:dyDescent="0.25">
      <c r="A140" t="s">
        <v>1945</v>
      </c>
      <c r="B140">
        <v>-300</v>
      </c>
      <c r="C140">
        <v>300</v>
      </c>
      <c r="D140" t="s">
        <v>1946</v>
      </c>
    </row>
    <row r="141" spans="1:4" x14ac:dyDescent="0.25">
      <c r="A141" t="s">
        <v>1947</v>
      </c>
      <c r="B141">
        <v>-300</v>
      </c>
      <c r="C141">
        <v>300</v>
      </c>
      <c r="D141" t="s">
        <v>1948</v>
      </c>
    </row>
    <row r="142" spans="1:4" x14ac:dyDescent="0.25">
      <c r="A142" t="s">
        <v>1949</v>
      </c>
      <c r="B142">
        <v>-300</v>
      </c>
      <c r="C142">
        <v>300</v>
      </c>
      <c r="D142" t="s">
        <v>1950</v>
      </c>
    </row>
    <row r="143" spans="1:4" x14ac:dyDescent="0.25">
      <c r="A143" t="s">
        <v>1951</v>
      </c>
      <c r="B143">
        <v>-300</v>
      </c>
      <c r="C143">
        <v>300</v>
      </c>
      <c r="D143" t="s">
        <v>1952</v>
      </c>
    </row>
    <row r="144" spans="1:4" x14ac:dyDescent="0.25">
      <c r="A144" t="s">
        <v>1953</v>
      </c>
      <c r="B144">
        <v>-300</v>
      </c>
      <c r="C144">
        <v>300</v>
      </c>
      <c r="D144" t="s">
        <v>1954</v>
      </c>
    </row>
    <row r="145" spans="1:4" x14ac:dyDescent="0.25">
      <c r="A145" t="s">
        <v>1955</v>
      </c>
      <c r="B145">
        <v>-300</v>
      </c>
      <c r="C145">
        <v>300</v>
      </c>
      <c r="D145" t="s">
        <v>1956</v>
      </c>
    </row>
    <row r="146" spans="1:4" x14ac:dyDescent="0.25">
      <c r="A146" t="s">
        <v>1957</v>
      </c>
      <c r="B146">
        <v>-300</v>
      </c>
      <c r="C146">
        <v>300</v>
      </c>
      <c r="D146" t="s">
        <v>1958</v>
      </c>
    </row>
    <row r="147" spans="1:4" x14ac:dyDescent="0.25">
      <c r="A147" t="s">
        <v>1959</v>
      </c>
      <c r="B147">
        <v>-300</v>
      </c>
      <c r="C147">
        <v>300</v>
      </c>
      <c r="D147" t="s">
        <v>1960</v>
      </c>
    </row>
    <row r="148" spans="1:4" x14ac:dyDescent="0.25">
      <c r="A148" t="s">
        <v>1961</v>
      </c>
      <c r="B148">
        <v>-300</v>
      </c>
      <c r="C148">
        <v>300</v>
      </c>
      <c r="D148" t="s">
        <v>1962</v>
      </c>
    </row>
    <row r="149" spans="1:4" x14ac:dyDescent="0.25">
      <c r="A149" t="s">
        <v>1963</v>
      </c>
      <c r="B149">
        <v>-300</v>
      </c>
      <c r="C149">
        <v>300</v>
      </c>
      <c r="D149" t="s">
        <v>1964</v>
      </c>
    </row>
    <row r="150" spans="1:4" x14ac:dyDescent="0.25">
      <c r="A150" t="s">
        <v>1965</v>
      </c>
      <c r="B150">
        <v>-300</v>
      </c>
      <c r="C150">
        <v>300</v>
      </c>
      <c r="D150" t="s">
        <v>1966</v>
      </c>
    </row>
    <row r="151" spans="1:4" x14ac:dyDescent="0.25">
      <c r="A151" t="s">
        <v>1967</v>
      </c>
      <c r="B151">
        <v>-300</v>
      </c>
      <c r="C151">
        <v>300</v>
      </c>
      <c r="D151" t="s">
        <v>1968</v>
      </c>
    </row>
    <row r="152" spans="1:4" x14ac:dyDescent="0.25">
      <c r="A152" t="s">
        <v>1969</v>
      </c>
      <c r="B152">
        <v>-300</v>
      </c>
      <c r="C152">
        <v>300</v>
      </c>
      <c r="D152" t="s">
        <v>1970</v>
      </c>
    </row>
    <row r="153" spans="1:4" x14ac:dyDescent="0.25">
      <c r="A153" t="s">
        <v>1971</v>
      </c>
      <c r="B153">
        <v>-300</v>
      </c>
      <c r="C153">
        <v>300</v>
      </c>
      <c r="D153" t="s">
        <v>1972</v>
      </c>
    </row>
    <row r="154" spans="1:4" x14ac:dyDescent="0.25">
      <c r="A154" t="s">
        <v>1973</v>
      </c>
      <c r="B154">
        <v>-300</v>
      </c>
      <c r="C154">
        <v>300</v>
      </c>
      <c r="D154" t="s">
        <v>1974</v>
      </c>
    </row>
    <row r="155" spans="1:4" x14ac:dyDescent="0.25">
      <c r="A155" t="s">
        <v>1975</v>
      </c>
      <c r="B155">
        <v>-300</v>
      </c>
      <c r="C155">
        <v>300</v>
      </c>
      <c r="D155" t="s">
        <v>1976</v>
      </c>
    </row>
    <row r="156" spans="1:4" x14ac:dyDescent="0.25">
      <c r="A156" t="s">
        <v>1977</v>
      </c>
      <c r="B156">
        <v>-300</v>
      </c>
      <c r="C156">
        <v>300</v>
      </c>
      <c r="D156" t="s">
        <v>1978</v>
      </c>
    </row>
    <row r="157" spans="1:4" x14ac:dyDescent="0.25">
      <c r="A157" t="s">
        <v>1979</v>
      </c>
      <c r="B157">
        <v>-300</v>
      </c>
      <c r="C157">
        <v>300</v>
      </c>
      <c r="D157" t="s">
        <v>1980</v>
      </c>
    </row>
    <row r="158" spans="1:4" x14ac:dyDescent="0.25">
      <c r="A158" t="s">
        <v>1981</v>
      </c>
      <c r="B158">
        <v>-300</v>
      </c>
      <c r="C158">
        <v>300</v>
      </c>
      <c r="D158" t="s">
        <v>1982</v>
      </c>
    </row>
    <row r="159" spans="1:4" x14ac:dyDescent="0.25">
      <c r="A159" t="s">
        <v>1983</v>
      </c>
      <c r="B159">
        <v>-300</v>
      </c>
      <c r="C159">
        <v>300</v>
      </c>
      <c r="D159" t="s">
        <v>1984</v>
      </c>
    </row>
    <row r="160" spans="1:4" x14ac:dyDescent="0.25">
      <c r="A160" t="s">
        <v>1985</v>
      </c>
      <c r="B160">
        <v>-300</v>
      </c>
      <c r="C160">
        <v>300</v>
      </c>
      <c r="D160" t="s">
        <v>1986</v>
      </c>
    </row>
    <row r="161" spans="1:4" x14ac:dyDescent="0.25">
      <c r="A161" t="s">
        <v>1987</v>
      </c>
      <c r="B161">
        <v>-300</v>
      </c>
      <c r="C161">
        <v>300</v>
      </c>
      <c r="D161" t="s">
        <v>1988</v>
      </c>
    </row>
    <row r="162" spans="1:4" x14ac:dyDescent="0.25">
      <c r="A162" t="s">
        <v>1989</v>
      </c>
      <c r="B162">
        <v>-300</v>
      </c>
      <c r="C162">
        <v>300</v>
      </c>
      <c r="D162" t="s">
        <v>1990</v>
      </c>
    </row>
    <row r="163" spans="1:4" x14ac:dyDescent="0.25">
      <c r="A163" t="s">
        <v>1991</v>
      </c>
      <c r="B163">
        <v>-300</v>
      </c>
      <c r="C163">
        <v>300</v>
      </c>
      <c r="D163" t="s">
        <v>1992</v>
      </c>
    </row>
    <row r="164" spans="1:4" x14ac:dyDescent="0.25">
      <c r="A164" t="s">
        <v>1993</v>
      </c>
      <c r="B164">
        <v>-300</v>
      </c>
      <c r="C164">
        <v>300</v>
      </c>
      <c r="D164" t="s">
        <v>1994</v>
      </c>
    </row>
    <row r="165" spans="1:4" x14ac:dyDescent="0.25">
      <c r="A165" t="s">
        <v>1995</v>
      </c>
      <c r="B165">
        <v>-300</v>
      </c>
      <c r="C165">
        <v>300</v>
      </c>
      <c r="D165" t="s">
        <v>1996</v>
      </c>
    </row>
    <row r="166" spans="1:4" x14ac:dyDescent="0.25">
      <c r="A166" t="s">
        <v>1999</v>
      </c>
      <c r="B166">
        <v>-300</v>
      </c>
      <c r="C166">
        <v>300</v>
      </c>
      <c r="D166" t="s">
        <v>2000</v>
      </c>
    </row>
    <row r="167" spans="1:4" x14ac:dyDescent="0.25">
      <c r="A167" t="s">
        <v>2001</v>
      </c>
      <c r="B167">
        <v>-300</v>
      </c>
      <c r="C167">
        <v>300</v>
      </c>
      <c r="D167" t="s">
        <v>2002</v>
      </c>
    </row>
    <row r="168" spans="1:4" x14ac:dyDescent="0.25">
      <c r="A168" t="s">
        <v>2003</v>
      </c>
      <c r="B168">
        <v>-300</v>
      </c>
      <c r="C168">
        <v>300</v>
      </c>
      <c r="D168" t="s">
        <v>2004</v>
      </c>
    </row>
    <row r="169" spans="1:4" x14ac:dyDescent="0.25">
      <c r="A169" t="s">
        <v>2005</v>
      </c>
      <c r="B169">
        <v>-300</v>
      </c>
      <c r="C169">
        <v>300</v>
      </c>
      <c r="D169" t="s">
        <v>2006</v>
      </c>
    </row>
    <row r="170" spans="1:4" x14ac:dyDescent="0.25">
      <c r="A170" t="s">
        <v>2007</v>
      </c>
      <c r="B170">
        <v>-300</v>
      </c>
      <c r="C170">
        <v>300</v>
      </c>
      <c r="D170" t="s">
        <v>2008</v>
      </c>
    </row>
    <row r="171" spans="1:4" x14ac:dyDescent="0.25">
      <c r="A171" t="s">
        <v>2009</v>
      </c>
      <c r="B171">
        <v>-300</v>
      </c>
      <c r="C171">
        <v>300</v>
      </c>
      <c r="D171" t="s">
        <v>2010</v>
      </c>
    </row>
    <row r="172" spans="1:4" x14ac:dyDescent="0.25">
      <c r="A172" t="s">
        <v>2011</v>
      </c>
      <c r="B172">
        <v>-300</v>
      </c>
      <c r="C172">
        <v>300</v>
      </c>
      <c r="D172" t="s">
        <v>2012</v>
      </c>
    </row>
    <row r="173" spans="1:4" x14ac:dyDescent="0.25">
      <c r="A173" t="s">
        <v>2013</v>
      </c>
      <c r="B173">
        <v>-300</v>
      </c>
      <c r="C173">
        <v>300</v>
      </c>
      <c r="D173" t="s">
        <v>2014</v>
      </c>
    </row>
    <row r="174" spans="1:4" x14ac:dyDescent="0.25">
      <c r="A174" t="s">
        <v>2017</v>
      </c>
      <c r="B174">
        <v>-300</v>
      </c>
      <c r="C174">
        <v>300</v>
      </c>
      <c r="D174" t="s">
        <v>2018</v>
      </c>
    </row>
    <row r="175" spans="1:4" x14ac:dyDescent="0.25">
      <c r="A175" t="s">
        <v>2019</v>
      </c>
      <c r="B175">
        <v>-300</v>
      </c>
      <c r="C175">
        <v>300</v>
      </c>
      <c r="D175" t="s">
        <v>2020</v>
      </c>
    </row>
    <row r="176" spans="1:4" x14ac:dyDescent="0.25">
      <c r="A176" t="s">
        <v>2021</v>
      </c>
      <c r="B176">
        <v>-300</v>
      </c>
      <c r="C176">
        <v>300</v>
      </c>
      <c r="D176" t="s">
        <v>2022</v>
      </c>
    </row>
    <row r="177" spans="1:4" x14ac:dyDescent="0.25">
      <c r="A177" t="s">
        <v>2023</v>
      </c>
      <c r="B177">
        <v>-300</v>
      </c>
      <c r="C177">
        <v>300</v>
      </c>
      <c r="D177" t="s">
        <v>2024</v>
      </c>
    </row>
    <row r="178" spans="1:4" x14ac:dyDescent="0.25">
      <c r="A178" t="s">
        <v>2025</v>
      </c>
      <c r="B178">
        <v>-300</v>
      </c>
      <c r="C178">
        <v>300</v>
      </c>
      <c r="D178" t="s">
        <v>2026</v>
      </c>
    </row>
    <row r="179" spans="1:4" x14ac:dyDescent="0.25">
      <c r="A179" t="s">
        <v>2027</v>
      </c>
      <c r="B179">
        <v>-300</v>
      </c>
      <c r="C179">
        <v>300</v>
      </c>
      <c r="D179" t="s">
        <v>2028</v>
      </c>
    </row>
    <row r="180" spans="1:4" x14ac:dyDescent="0.25">
      <c r="A180" t="s">
        <v>2029</v>
      </c>
      <c r="B180">
        <v>-300</v>
      </c>
      <c r="C180">
        <v>300</v>
      </c>
      <c r="D180" t="s">
        <v>2030</v>
      </c>
    </row>
    <row r="181" spans="1:4" x14ac:dyDescent="0.25">
      <c r="A181" t="s">
        <v>2031</v>
      </c>
      <c r="B181">
        <v>-300</v>
      </c>
      <c r="C181">
        <v>300</v>
      </c>
      <c r="D181" t="s">
        <v>2032</v>
      </c>
    </row>
    <row r="182" spans="1:4" x14ac:dyDescent="0.25">
      <c r="A182" t="s">
        <v>2033</v>
      </c>
      <c r="B182">
        <v>-300</v>
      </c>
      <c r="C182">
        <v>300</v>
      </c>
      <c r="D182" t="s">
        <v>2034</v>
      </c>
    </row>
    <row r="183" spans="1:4" x14ac:dyDescent="0.25">
      <c r="A183" t="s">
        <v>2035</v>
      </c>
      <c r="B183">
        <v>-300</v>
      </c>
      <c r="C183">
        <v>300</v>
      </c>
      <c r="D183" t="s">
        <v>2036</v>
      </c>
    </row>
    <row r="184" spans="1:4" x14ac:dyDescent="0.25">
      <c r="A184" t="s">
        <v>2039</v>
      </c>
      <c r="B184">
        <v>-300</v>
      </c>
      <c r="C184">
        <v>300</v>
      </c>
      <c r="D184" t="s">
        <v>2040</v>
      </c>
    </row>
    <row r="185" spans="1:4" x14ac:dyDescent="0.25">
      <c r="A185" t="s">
        <v>2043</v>
      </c>
      <c r="B185">
        <v>-300</v>
      </c>
      <c r="C185">
        <v>300</v>
      </c>
      <c r="D185" t="s">
        <v>2044</v>
      </c>
    </row>
    <row r="186" spans="1:4" x14ac:dyDescent="0.25">
      <c r="A186" t="s">
        <v>2045</v>
      </c>
      <c r="B186">
        <v>-300</v>
      </c>
      <c r="C186">
        <v>300</v>
      </c>
      <c r="D186" t="s">
        <v>2046</v>
      </c>
    </row>
    <row r="187" spans="1:4" x14ac:dyDescent="0.25">
      <c r="A187" t="s">
        <v>2049</v>
      </c>
      <c r="B187">
        <v>-300</v>
      </c>
      <c r="C187">
        <v>300</v>
      </c>
      <c r="D187" t="s">
        <v>2050</v>
      </c>
    </row>
    <row r="188" spans="1:4" x14ac:dyDescent="0.25">
      <c r="A188" t="s">
        <v>2051</v>
      </c>
      <c r="B188">
        <v>-300</v>
      </c>
      <c r="C188">
        <v>300</v>
      </c>
      <c r="D188" t="s">
        <v>2052</v>
      </c>
    </row>
    <row r="189" spans="1:4" x14ac:dyDescent="0.25">
      <c r="A189" t="s">
        <v>2053</v>
      </c>
      <c r="B189">
        <v>-300</v>
      </c>
      <c r="C189">
        <v>300</v>
      </c>
      <c r="D189" t="s">
        <v>2054</v>
      </c>
    </row>
  </sheetData>
  <sortState ref="A2:D204">
    <sortCondition sortBy="cellColor" ref="D2:D204" dxfId="27"/>
  </sortState>
  <conditionalFormatting sqref="D1:D1048576">
    <cfRule type="duplicateValues" dxfId="26" priority="2"/>
  </conditionalFormatting>
  <conditionalFormatting sqref="K2:K14">
    <cfRule type="duplicateValues" dxfId="25" priority="1" stopIfTrue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0"/>
  <sheetViews>
    <sheetView zoomScale="70" zoomScaleNormal="70" workbookViewId="0">
      <selection sqref="A1:XFD1"/>
    </sheetView>
  </sheetViews>
  <sheetFormatPr defaultRowHeight="15" x14ac:dyDescent="0.25"/>
  <cols>
    <col min="1" max="1" width="18" bestFit="1" customWidth="1"/>
    <col min="2" max="2" width="7.140625" customWidth="1"/>
    <col min="3" max="3" width="6" customWidth="1"/>
    <col min="4" max="4" width="35.7109375" customWidth="1"/>
    <col min="5" max="5" width="16.85546875" customWidth="1"/>
    <col min="6" max="6" width="82" bestFit="1" customWidth="1"/>
    <col min="7" max="8" width="13.85546875" customWidth="1"/>
    <col min="9" max="11" width="9.140625" customWidth="1"/>
    <col min="16" max="16" width="18" bestFit="1" customWidth="1"/>
  </cols>
  <sheetData>
    <row r="1" spans="1:20" ht="15.75" thickBo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1679</v>
      </c>
      <c r="F1" s="16" t="s">
        <v>1680</v>
      </c>
      <c r="G1" s="16" t="s">
        <v>1681</v>
      </c>
      <c r="H1" s="5"/>
      <c r="I1" s="31" t="s">
        <v>6412</v>
      </c>
      <c r="J1" s="31" t="s">
        <v>6413</v>
      </c>
      <c r="K1" s="31"/>
      <c r="L1" s="31" t="s">
        <v>6414</v>
      </c>
      <c r="M1" s="32" t="s">
        <v>3863</v>
      </c>
      <c r="P1" s="15"/>
    </row>
    <row r="2" spans="1:20" x14ac:dyDescent="0.25">
      <c r="A2" t="s">
        <v>3333</v>
      </c>
      <c r="B2" s="9">
        <v>0</v>
      </c>
      <c r="C2" s="9">
        <v>300</v>
      </c>
      <c r="D2" s="9" t="s">
        <v>1685</v>
      </c>
      <c r="E2" s="9"/>
      <c r="F2" s="9" t="s">
        <v>3657</v>
      </c>
      <c r="G2" s="9" t="s">
        <v>3849</v>
      </c>
      <c r="H2" s="5" t="s">
        <v>3857</v>
      </c>
      <c r="I2" s="5">
        <v>0</v>
      </c>
      <c r="J2" s="5" t="s">
        <v>3850</v>
      </c>
      <c r="K2" s="5"/>
      <c r="L2" s="5" t="s">
        <v>1684</v>
      </c>
      <c r="M2" s="5" t="s">
        <v>3898</v>
      </c>
      <c r="T2" s="2"/>
    </row>
    <row r="3" spans="1:20" x14ac:dyDescent="0.25">
      <c r="A3" t="s">
        <v>3334</v>
      </c>
      <c r="B3" s="9">
        <v>-300</v>
      </c>
      <c r="C3" s="9">
        <v>300</v>
      </c>
      <c r="D3" s="9" t="s">
        <v>1687</v>
      </c>
      <c r="E3" s="9"/>
      <c r="F3" s="9" t="s">
        <v>3658</v>
      </c>
      <c r="G3" s="9" t="s">
        <v>3849</v>
      </c>
      <c r="H3" s="5"/>
      <c r="I3" s="5">
        <v>0</v>
      </c>
      <c r="J3" s="5" t="s">
        <v>3850</v>
      </c>
      <c r="K3" s="5"/>
      <c r="L3" s="5" t="s">
        <v>1686</v>
      </c>
      <c r="M3" s="5" t="s">
        <v>3903</v>
      </c>
      <c r="T3" s="2"/>
    </row>
    <row r="4" spans="1:20" x14ac:dyDescent="0.25">
      <c r="A4" t="s">
        <v>3335</v>
      </c>
      <c r="B4" s="9">
        <v>-300</v>
      </c>
      <c r="C4" s="9">
        <v>300</v>
      </c>
      <c r="D4" s="9" t="s">
        <v>1687</v>
      </c>
      <c r="E4" s="9"/>
      <c r="F4" s="9" t="s">
        <v>3659</v>
      </c>
      <c r="G4" s="9" t="s">
        <v>3849</v>
      </c>
      <c r="H4" s="5" t="s">
        <v>3857</v>
      </c>
      <c r="I4" s="5">
        <v>0</v>
      </c>
      <c r="J4" s="5" t="s">
        <v>3850</v>
      </c>
      <c r="K4" s="5"/>
      <c r="L4" s="5"/>
      <c r="M4" s="5"/>
      <c r="T4" s="2"/>
    </row>
    <row r="5" spans="1:20" x14ac:dyDescent="0.25">
      <c r="A5" t="s">
        <v>3339</v>
      </c>
      <c r="B5" s="9">
        <v>-300</v>
      </c>
      <c r="C5" s="9">
        <v>300</v>
      </c>
      <c r="D5" s="9" t="s">
        <v>1695</v>
      </c>
      <c r="E5" s="9"/>
      <c r="F5" s="9" t="s">
        <v>3663</v>
      </c>
      <c r="G5" s="9" t="s">
        <v>3849</v>
      </c>
      <c r="H5" s="5"/>
      <c r="I5" s="5">
        <v>0</v>
      </c>
      <c r="J5" s="5" t="s">
        <v>3850</v>
      </c>
      <c r="K5" s="5"/>
      <c r="L5" s="5" t="s">
        <v>1694</v>
      </c>
      <c r="M5" s="5" t="s">
        <v>3928</v>
      </c>
      <c r="N5" s="5" t="s">
        <v>3868</v>
      </c>
      <c r="T5" s="2"/>
    </row>
    <row r="6" spans="1:20" x14ac:dyDescent="0.25">
      <c r="A6" t="s">
        <v>3340</v>
      </c>
      <c r="B6" s="9">
        <v>-300</v>
      </c>
      <c r="C6" s="9">
        <v>300</v>
      </c>
      <c r="D6" s="9" t="s">
        <v>1695</v>
      </c>
      <c r="E6" s="9"/>
      <c r="F6" s="9" t="s">
        <v>3664</v>
      </c>
      <c r="G6" s="9" t="s">
        <v>3849</v>
      </c>
      <c r="H6" s="5" t="s">
        <v>3857</v>
      </c>
      <c r="I6" s="5">
        <v>0</v>
      </c>
      <c r="J6" s="5" t="s">
        <v>3850</v>
      </c>
      <c r="K6" s="5"/>
      <c r="L6" s="5"/>
      <c r="M6" s="5"/>
      <c r="T6" s="2"/>
    </row>
    <row r="7" spans="1:20" x14ac:dyDescent="0.25">
      <c r="A7" t="s">
        <v>3341</v>
      </c>
      <c r="B7" s="9">
        <v>-300</v>
      </c>
      <c r="C7" s="9">
        <v>300</v>
      </c>
      <c r="D7" s="9" t="s">
        <v>1697</v>
      </c>
      <c r="E7" s="9"/>
      <c r="F7" s="9" t="s">
        <v>3665</v>
      </c>
      <c r="G7" s="9" t="s">
        <v>3849</v>
      </c>
      <c r="H7" s="5"/>
      <c r="I7" s="5">
        <v>0</v>
      </c>
      <c r="J7" s="5" t="s">
        <v>3850</v>
      </c>
      <c r="K7" s="5"/>
      <c r="L7" s="5" t="s">
        <v>1696</v>
      </c>
      <c r="M7" s="5" t="s">
        <v>3947</v>
      </c>
      <c r="T7" s="2"/>
    </row>
    <row r="8" spans="1:20" x14ac:dyDescent="0.25">
      <c r="A8" t="s">
        <v>3342</v>
      </c>
      <c r="B8" s="9">
        <v>-300</v>
      </c>
      <c r="C8" s="9">
        <v>300</v>
      </c>
      <c r="D8" s="9" t="s">
        <v>1697</v>
      </c>
      <c r="E8" s="9"/>
      <c r="F8" s="9" t="s">
        <v>3666</v>
      </c>
      <c r="G8" s="9" t="s">
        <v>3849</v>
      </c>
      <c r="H8" s="5" t="s">
        <v>3857</v>
      </c>
      <c r="I8" s="5">
        <v>0</v>
      </c>
      <c r="J8" s="5" t="s">
        <v>3850</v>
      </c>
      <c r="K8" s="5"/>
      <c r="L8" s="5"/>
      <c r="M8" s="5"/>
      <c r="T8" s="2"/>
    </row>
    <row r="9" spans="1:20" x14ac:dyDescent="0.25">
      <c r="A9" t="s">
        <v>3344</v>
      </c>
      <c r="B9" s="9">
        <v>-300</v>
      </c>
      <c r="C9" s="9">
        <v>300</v>
      </c>
      <c r="D9" s="9" t="s">
        <v>1703</v>
      </c>
      <c r="E9" s="9"/>
      <c r="F9" s="9" t="s">
        <v>3668</v>
      </c>
      <c r="G9" s="9" t="s">
        <v>3849</v>
      </c>
      <c r="H9" s="5"/>
      <c r="I9" s="5">
        <v>-1</v>
      </c>
      <c r="J9" s="5" t="s">
        <v>3850</v>
      </c>
      <c r="K9" s="5"/>
      <c r="L9" s="5" t="s">
        <v>1702</v>
      </c>
      <c r="M9" s="5" t="s">
        <v>3999</v>
      </c>
      <c r="T9" s="2"/>
    </row>
    <row r="10" spans="1:20" x14ac:dyDescent="0.25">
      <c r="A10" t="s">
        <v>3345</v>
      </c>
      <c r="B10" s="9">
        <v>-300</v>
      </c>
      <c r="C10" s="9">
        <v>300</v>
      </c>
      <c r="D10" s="9" t="s">
        <v>1703</v>
      </c>
      <c r="E10" s="9"/>
      <c r="F10" s="9" t="s">
        <v>3669</v>
      </c>
      <c r="G10" s="9" t="s">
        <v>3849</v>
      </c>
      <c r="H10" s="5" t="s">
        <v>3857</v>
      </c>
      <c r="I10" s="5">
        <v>0</v>
      </c>
      <c r="J10" s="5" t="s">
        <v>3853</v>
      </c>
      <c r="K10" s="5"/>
      <c r="L10" s="5"/>
      <c r="M10" s="5"/>
      <c r="T10" s="2"/>
    </row>
    <row r="11" spans="1:20" x14ac:dyDescent="0.25">
      <c r="A11" t="s">
        <v>3346</v>
      </c>
      <c r="B11" s="9">
        <v>0</v>
      </c>
      <c r="C11" s="9">
        <v>300</v>
      </c>
      <c r="D11" s="9" t="s">
        <v>3560</v>
      </c>
      <c r="E11" s="9" t="s">
        <v>222</v>
      </c>
      <c r="F11" s="9" t="s">
        <v>3670</v>
      </c>
      <c r="G11" s="9" t="s">
        <v>3849</v>
      </c>
      <c r="H11" s="5"/>
      <c r="I11" s="5">
        <v>0</v>
      </c>
      <c r="J11" s="5" t="s">
        <v>3850</v>
      </c>
      <c r="K11" s="5"/>
      <c r="L11" s="5" t="s">
        <v>1704</v>
      </c>
      <c r="M11" s="5" t="s">
        <v>4000</v>
      </c>
      <c r="T11" s="2"/>
    </row>
    <row r="12" spans="1:20" x14ac:dyDescent="0.25">
      <c r="A12" t="s">
        <v>3347</v>
      </c>
      <c r="B12" s="9">
        <v>-300</v>
      </c>
      <c r="C12" s="9">
        <v>300</v>
      </c>
      <c r="D12" s="9" t="s">
        <v>1707</v>
      </c>
      <c r="E12" s="9"/>
      <c r="F12" s="9" t="s">
        <v>3670</v>
      </c>
      <c r="G12" s="9" t="s">
        <v>3849</v>
      </c>
      <c r="H12" s="5" t="s">
        <v>3857</v>
      </c>
      <c r="I12" s="5">
        <v>0</v>
      </c>
      <c r="J12" s="5" t="s">
        <v>3850</v>
      </c>
      <c r="K12" s="5"/>
      <c r="L12" s="5" t="s">
        <v>1706</v>
      </c>
      <c r="M12" s="5" t="s">
        <v>4007</v>
      </c>
      <c r="T12" s="2"/>
    </row>
    <row r="13" spans="1:20" x14ac:dyDescent="0.25">
      <c r="A13" t="s">
        <v>3349</v>
      </c>
      <c r="B13" s="9">
        <v>0</v>
      </c>
      <c r="C13" s="9">
        <v>300</v>
      </c>
      <c r="D13" s="9" t="s">
        <v>3561</v>
      </c>
      <c r="E13" s="9" t="s">
        <v>222</v>
      </c>
      <c r="F13" s="9" t="s">
        <v>3672</v>
      </c>
      <c r="G13" s="9" t="s">
        <v>3849</v>
      </c>
      <c r="H13" s="5"/>
      <c r="I13" s="5">
        <v>0</v>
      </c>
      <c r="J13" s="5" t="s">
        <v>3850</v>
      </c>
      <c r="K13" s="5"/>
      <c r="L13" s="5" t="s">
        <v>1710</v>
      </c>
      <c r="M13" s="5" t="s">
        <v>4056</v>
      </c>
      <c r="T13" s="2"/>
    </row>
    <row r="14" spans="1:20" x14ac:dyDescent="0.25">
      <c r="A14" t="s">
        <v>3350</v>
      </c>
      <c r="B14" s="9">
        <v>-300</v>
      </c>
      <c r="C14" s="9">
        <v>300</v>
      </c>
      <c r="D14" s="9" t="s">
        <v>1713</v>
      </c>
      <c r="E14" s="9"/>
      <c r="F14" s="9" t="s">
        <v>3672</v>
      </c>
      <c r="G14" s="9" t="s">
        <v>3849</v>
      </c>
      <c r="H14" s="5" t="s">
        <v>3857</v>
      </c>
      <c r="I14" s="5">
        <v>0</v>
      </c>
      <c r="J14" s="5" t="s">
        <v>3850</v>
      </c>
      <c r="K14" s="5"/>
      <c r="L14" s="5" t="s">
        <v>1712</v>
      </c>
      <c r="M14" s="5" t="s">
        <v>4057</v>
      </c>
      <c r="T14" s="3"/>
    </row>
    <row r="15" spans="1:20" x14ac:dyDescent="0.25">
      <c r="A15" t="s">
        <v>3351</v>
      </c>
      <c r="B15" s="9">
        <v>0</v>
      </c>
      <c r="C15" s="9">
        <v>300</v>
      </c>
      <c r="D15" s="9" t="s">
        <v>3562</v>
      </c>
      <c r="E15" s="9" t="s">
        <v>222</v>
      </c>
      <c r="F15" s="9" t="s">
        <v>3673</v>
      </c>
      <c r="G15" s="9" t="s">
        <v>3849</v>
      </c>
      <c r="H15" s="5"/>
      <c r="I15" s="5">
        <v>0</v>
      </c>
      <c r="J15" s="5" t="s">
        <v>3850</v>
      </c>
      <c r="K15" s="5"/>
      <c r="L15" s="5" t="s">
        <v>1714</v>
      </c>
      <c r="M15" s="5" t="s">
        <v>4058</v>
      </c>
      <c r="T15" s="2"/>
    </row>
    <row r="16" spans="1:20" x14ac:dyDescent="0.25">
      <c r="A16" t="s">
        <v>3352</v>
      </c>
      <c r="B16" s="9">
        <v>-300</v>
      </c>
      <c r="C16" s="9">
        <v>300</v>
      </c>
      <c r="D16" s="9" t="s">
        <v>3563</v>
      </c>
      <c r="E16" s="9"/>
      <c r="F16" s="9" t="s">
        <v>3674</v>
      </c>
      <c r="G16" s="9" t="s">
        <v>3849</v>
      </c>
      <c r="H16" s="5" t="s">
        <v>3857</v>
      </c>
      <c r="I16" s="5">
        <v>0</v>
      </c>
      <c r="J16" s="5" t="s">
        <v>3850</v>
      </c>
      <c r="K16" s="5"/>
      <c r="L16" s="5" t="s">
        <v>1716</v>
      </c>
      <c r="M16" s="5" t="s">
        <v>4061</v>
      </c>
      <c r="T16" s="2"/>
    </row>
    <row r="17" spans="1:20" x14ac:dyDescent="0.25">
      <c r="A17" t="s">
        <v>3353</v>
      </c>
      <c r="B17" s="9">
        <v>0</v>
      </c>
      <c r="C17" s="9">
        <v>300</v>
      </c>
      <c r="D17" s="9" t="s">
        <v>3564</v>
      </c>
      <c r="E17" s="9" t="s">
        <v>222</v>
      </c>
      <c r="F17" s="9" t="s">
        <v>3675</v>
      </c>
      <c r="G17" s="9" t="s">
        <v>3849</v>
      </c>
      <c r="H17" s="5"/>
      <c r="I17" s="5">
        <v>0</v>
      </c>
      <c r="J17" s="5" t="s">
        <v>3850</v>
      </c>
      <c r="K17" s="5"/>
      <c r="L17" s="5" t="s">
        <v>1718</v>
      </c>
      <c r="M17" s="5" t="s">
        <v>4069</v>
      </c>
      <c r="T17" s="2"/>
    </row>
    <row r="18" spans="1:20" x14ac:dyDescent="0.25">
      <c r="A18" t="s">
        <v>3354</v>
      </c>
      <c r="B18" s="9">
        <v>-300</v>
      </c>
      <c r="C18" s="9">
        <v>300</v>
      </c>
      <c r="D18" s="9" t="s">
        <v>1721</v>
      </c>
      <c r="E18" s="9"/>
      <c r="F18" s="9" t="s">
        <v>3675</v>
      </c>
      <c r="G18" s="9" t="s">
        <v>3849</v>
      </c>
      <c r="H18" s="5" t="s">
        <v>3857</v>
      </c>
      <c r="I18" s="5">
        <v>0</v>
      </c>
      <c r="J18" s="5" t="s">
        <v>3850</v>
      </c>
      <c r="K18" s="5"/>
      <c r="L18" s="5" t="s">
        <v>1720</v>
      </c>
      <c r="M18" s="5" t="s">
        <v>4076</v>
      </c>
      <c r="T18" s="2"/>
    </row>
    <row r="19" spans="1:20" x14ac:dyDescent="0.25">
      <c r="A19" t="s">
        <v>3355</v>
      </c>
      <c r="B19" s="9">
        <v>0</v>
      </c>
      <c r="C19" s="9">
        <v>300</v>
      </c>
      <c r="D19" s="9" t="s">
        <v>3565</v>
      </c>
      <c r="E19" s="9" t="s">
        <v>222</v>
      </c>
      <c r="F19" s="9" t="s">
        <v>3637</v>
      </c>
      <c r="G19" s="9" t="s">
        <v>3849</v>
      </c>
      <c r="H19" s="5"/>
      <c r="I19" s="5">
        <v>0</v>
      </c>
      <c r="J19" s="5" t="s">
        <v>3850</v>
      </c>
      <c r="K19" s="5"/>
      <c r="L19" s="5" t="s">
        <v>1722</v>
      </c>
      <c r="M19" s="5" t="s">
        <v>4079</v>
      </c>
      <c r="T19" s="2"/>
    </row>
    <row r="20" spans="1:20" x14ac:dyDescent="0.25">
      <c r="A20" t="s">
        <v>3313</v>
      </c>
      <c r="B20" s="9">
        <v>0</v>
      </c>
      <c r="C20" s="9">
        <v>300</v>
      </c>
      <c r="D20" s="9" t="s">
        <v>1725</v>
      </c>
      <c r="E20" s="9"/>
      <c r="F20" s="9" t="s">
        <v>3637</v>
      </c>
      <c r="G20" s="9" t="s">
        <v>3849</v>
      </c>
      <c r="H20" s="5"/>
      <c r="I20" s="5">
        <v>0</v>
      </c>
      <c r="J20" s="5" t="s">
        <v>3850</v>
      </c>
      <c r="K20" s="5"/>
      <c r="L20" s="5" t="s">
        <v>1724</v>
      </c>
      <c r="M20" s="5" t="s">
        <v>4087</v>
      </c>
      <c r="T20" s="2"/>
    </row>
    <row r="21" spans="1:20" x14ac:dyDescent="0.25">
      <c r="A21" t="s">
        <v>3314</v>
      </c>
      <c r="B21" s="9">
        <v>0</v>
      </c>
      <c r="C21" s="9">
        <v>300</v>
      </c>
      <c r="D21" s="9" t="s">
        <v>1725</v>
      </c>
      <c r="E21" s="9"/>
      <c r="F21" s="9" t="s">
        <v>3638</v>
      </c>
      <c r="G21" s="9" t="s">
        <v>3849</v>
      </c>
      <c r="H21" s="5" t="s">
        <v>3857</v>
      </c>
      <c r="I21" s="5">
        <v>2</v>
      </c>
      <c r="J21" s="5" t="s">
        <v>3850</v>
      </c>
      <c r="K21" s="5"/>
      <c r="L21" s="5"/>
      <c r="M21" s="5"/>
      <c r="T21" s="2"/>
    </row>
    <row r="22" spans="1:20" x14ac:dyDescent="0.25">
      <c r="A22" t="s">
        <v>3549</v>
      </c>
      <c r="B22" s="9">
        <v>-300</v>
      </c>
      <c r="C22" s="9">
        <v>300</v>
      </c>
      <c r="D22" s="9" t="s">
        <v>3610</v>
      </c>
      <c r="E22" s="9" t="s">
        <v>3610</v>
      </c>
      <c r="F22" s="9" t="s">
        <v>3844</v>
      </c>
      <c r="G22" s="9" t="s">
        <v>3849</v>
      </c>
      <c r="H22" s="5"/>
      <c r="I22" s="5">
        <v>0</v>
      </c>
      <c r="J22" s="5" t="s">
        <v>3850</v>
      </c>
      <c r="K22" s="5"/>
      <c r="L22" s="5" t="s">
        <v>1726</v>
      </c>
      <c r="M22" s="5" t="s">
        <v>4096</v>
      </c>
      <c r="T22" s="2"/>
    </row>
    <row r="23" spans="1:20" x14ac:dyDescent="0.25">
      <c r="A23" t="s">
        <v>3356</v>
      </c>
      <c r="B23" s="9">
        <v>-300</v>
      </c>
      <c r="C23" s="9">
        <v>300</v>
      </c>
      <c r="D23" s="9" t="s">
        <v>1729</v>
      </c>
      <c r="E23" s="9"/>
      <c r="F23" s="9" t="s">
        <v>3676</v>
      </c>
      <c r="G23" s="9" t="s">
        <v>3849</v>
      </c>
      <c r="H23" s="5"/>
      <c r="I23" s="5">
        <v>0</v>
      </c>
      <c r="J23" s="5" t="s">
        <v>3850</v>
      </c>
      <c r="K23" s="5"/>
      <c r="L23" s="5" t="s">
        <v>1728</v>
      </c>
      <c r="M23" s="5" t="s">
        <v>4107</v>
      </c>
      <c r="T23" s="3"/>
    </row>
    <row r="24" spans="1:20" x14ac:dyDescent="0.25">
      <c r="A24" t="s">
        <v>3357</v>
      </c>
      <c r="B24" s="9">
        <v>-300</v>
      </c>
      <c r="C24" s="9">
        <v>300</v>
      </c>
      <c r="D24" s="9" t="s">
        <v>1729</v>
      </c>
      <c r="E24" s="9"/>
      <c r="F24" s="9" t="s">
        <v>3677</v>
      </c>
      <c r="G24" s="9" t="s">
        <v>3849</v>
      </c>
      <c r="H24" s="5" t="s">
        <v>3857</v>
      </c>
      <c r="I24" s="5">
        <v>0</v>
      </c>
      <c r="J24" s="5" t="s">
        <v>3850</v>
      </c>
      <c r="K24" s="5"/>
      <c r="L24" s="5"/>
      <c r="M24" s="5"/>
      <c r="T24" s="2"/>
    </row>
    <row r="25" spans="1:20" x14ac:dyDescent="0.25">
      <c r="A25" t="s">
        <v>3359</v>
      </c>
      <c r="B25" s="9">
        <v>0</v>
      </c>
      <c r="C25" s="9">
        <v>300</v>
      </c>
      <c r="D25" s="9" t="s">
        <v>3566</v>
      </c>
      <c r="E25" s="9"/>
      <c r="F25" s="9" t="s">
        <v>3679</v>
      </c>
      <c r="G25" s="9" t="s">
        <v>3849</v>
      </c>
      <c r="H25" s="5" t="s">
        <v>3857</v>
      </c>
      <c r="I25" s="5">
        <v>0</v>
      </c>
      <c r="J25" s="5" t="s">
        <v>3850</v>
      </c>
      <c r="K25" s="5"/>
      <c r="L25" s="5" t="s">
        <v>1730</v>
      </c>
      <c r="M25" s="5" t="s">
        <v>4114</v>
      </c>
      <c r="T25" s="2"/>
    </row>
    <row r="26" spans="1:20" x14ac:dyDescent="0.25">
      <c r="A26" t="s">
        <v>3358</v>
      </c>
      <c r="B26" s="9">
        <v>0</v>
      </c>
      <c r="C26" s="9">
        <v>300</v>
      </c>
      <c r="D26" s="9" t="s">
        <v>3566</v>
      </c>
      <c r="E26" s="9"/>
      <c r="F26" s="9" t="s">
        <v>3678</v>
      </c>
      <c r="G26" s="9" t="s">
        <v>3849</v>
      </c>
      <c r="H26" s="5"/>
      <c r="I26" s="5">
        <v>0</v>
      </c>
      <c r="J26" s="5" t="s">
        <v>3850</v>
      </c>
      <c r="K26" s="5"/>
      <c r="L26" s="5"/>
      <c r="M26" s="5"/>
      <c r="T26" s="2"/>
    </row>
    <row r="27" spans="1:20" x14ac:dyDescent="0.25">
      <c r="A27" t="s">
        <v>6411</v>
      </c>
      <c r="B27" s="9">
        <v>-300</v>
      </c>
      <c r="C27" s="9">
        <v>300</v>
      </c>
      <c r="D27" s="9"/>
      <c r="E27" s="9"/>
      <c r="F27" s="9" t="s">
        <v>6415</v>
      </c>
      <c r="G27" s="9" t="s">
        <v>3849</v>
      </c>
      <c r="H27" s="5"/>
      <c r="I27" s="5"/>
      <c r="J27" s="5"/>
      <c r="K27" s="5"/>
      <c r="L27" s="5"/>
      <c r="M27" s="5"/>
      <c r="T27" s="2"/>
    </row>
    <row r="28" spans="1:20" x14ac:dyDescent="0.25">
      <c r="A28" t="s">
        <v>3361</v>
      </c>
      <c r="B28" s="9">
        <v>0</v>
      </c>
      <c r="C28" s="9">
        <v>300</v>
      </c>
      <c r="D28" s="9" t="s">
        <v>3568</v>
      </c>
      <c r="E28" s="9" t="s">
        <v>222</v>
      </c>
      <c r="F28" s="9" t="s">
        <v>3681</v>
      </c>
      <c r="G28" s="9" t="s">
        <v>3849</v>
      </c>
      <c r="H28" s="5"/>
      <c r="I28" s="5">
        <v>0</v>
      </c>
      <c r="J28" s="5" t="s">
        <v>3850</v>
      </c>
      <c r="K28" s="5"/>
      <c r="L28" s="5" t="s">
        <v>1734</v>
      </c>
      <c r="M28" s="5" t="s">
        <v>4129</v>
      </c>
      <c r="T28" s="2"/>
    </row>
    <row r="29" spans="1:20" x14ac:dyDescent="0.25">
      <c r="A29" t="s">
        <v>3362</v>
      </c>
      <c r="B29" s="9">
        <v>-300</v>
      </c>
      <c r="C29" s="9">
        <v>300</v>
      </c>
      <c r="D29" s="9" t="s">
        <v>1737</v>
      </c>
      <c r="E29" s="9"/>
      <c r="F29" s="9" t="s">
        <v>3681</v>
      </c>
      <c r="G29" s="9" t="s">
        <v>3849</v>
      </c>
      <c r="H29" s="5"/>
      <c r="I29" s="5">
        <v>0</v>
      </c>
      <c r="J29" s="5" t="s">
        <v>3850</v>
      </c>
      <c r="K29" s="5"/>
      <c r="L29" s="5" t="s">
        <v>1736</v>
      </c>
      <c r="M29" s="5" t="s">
        <v>4130</v>
      </c>
      <c r="T29" s="2"/>
    </row>
    <row r="30" spans="1:20" x14ac:dyDescent="0.25">
      <c r="A30" t="s">
        <v>3363</v>
      </c>
      <c r="B30" s="9">
        <v>-300</v>
      </c>
      <c r="C30" s="9">
        <v>300</v>
      </c>
      <c r="D30" s="9" t="s">
        <v>1737</v>
      </c>
      <c r="E30" s="9"/>
      <c r="F30" s="9" t="s">
        <v>3682</v>
      </c>
      <c r="G30" s="9" t="s">
        <v>3849</v>
      </c>
      <c r="H30" s="5" t="s">
        <v>3857</v>
      </c>
      <c r="I30" s="5">
        <v>0</v>
      </c>
      <c r="J30" s="5" t="s">
        <v>3850</v>
      </c>
      <c r="K30" s="5"/>
      <c r="L30" s="5"/>
      <c r="M30" s="5"/>
      <c r="T30" s="2"/>
    </row>
    <row r="31" spans="1:20" x14ac:dyDescent="0.25">
      <c r="A31" t="s">
        <v>3365</v>
      </c>
      <c r="B31" s="9">
        <v>0</v>
      </c>
      <c r="C31" s="9">
        <v>300</v>
      </c>
      <c r="D31" s="9" t="s">
        <v>3569</v>
      </c>
      <c r="E31" s="9"/>
      <c r="F31" s="9" t="s">
        <v>3684</v>
      </c>
      <c r="G31" s="9" t="s">
        <v>3849</v>
      </c>
      <c r="H31" s="5" t="s">
        <v>3857</v>
      </c>
      <c r="I31" s="5">
        <v>0</v>
      </c>
      <c r="J31" s="5" t="s">
        <v>3850</v>
      </c>
      <c r="K31" s="5"/>
      <c r="L31" s="5" t="s">
        <v>1738</v>
      </c>
      <c r="M31" s="5" t="s">
        <v>4139</v>
      </c>
      <c r="T31" s="2"/>
    </row>
    <row r="32" spans="1:20" x14ac:dyDescent="0.25">
      <c r="A32" t="s">
        <v>3364</v>
      </c>
      <c r="B32" s="9">
        <v>-300</v>
      </c>
      <c r="C32" s="9">
        <v>300</v>
      </c>
      <c r="D32" s="9" t="s">
        <v>3569</v>
      </c>
      <c r="E32" s="9"/>
      <c r="F32" s="9" t="s">
        <v>3683</v>
      </c>
      <c r="G32" s="9" t="s">
        <v>3849</v>
      </c>
      <c r="H32" s="5"/>
      <c r="I32" s="5">
        <v>0</v>
      </c>
      <c r="J32" s="5" t="s">
        <v>3850</v>
      </c>
      <c r="K32" s="5"/>
      <c r="L32" s="5"/>
      <c r="M32" s="5"/>
      <c r="T32" s="2"/>
    </row>
    <row r="33" spans="1:20" x14ac:dyDescent="0.25">
      <c r="A33" t="s">
        <v>3366</v>
      </c>
      <c r="B33" s="9">
        <v>-300</v>
      </c>
      <c r="C33" s="9">
        <v>300</v>
      </c>
      <c r="D33" s="9" t="s">
        <v>1741</v>
      </c>
      <c r="E33" s="9"/>
      <c r="F33" s="9" t="s">
        <v>3685</v>
      </c>
      <c r="G33" s="9" t="s">
        <v>3849</v>
      </c>
      <c r="H33" s="5" t="s">
        <v>3857</v>
      </c>
      <c r="I33" s="5">
        <v>0</v>
      </c>
      <c r="J33" s="5" t="s">
        <v>3850</v>
      </c>
      <c r="K33" s="5"/>
      <c r="L33" s="5" t="s">
        <v>1740</v>
      </c>
      <c r="M33" s="5" t="s">
        <v>4143</v>
      </c>
      <c r="T33" s="2"/>
    </row>
    <row r="34" spans="1:20" x14ac:dyDescent="0.25">
      <c r="A34" t="s">
        <v>3369</v>
      </c>
      <c r="B34" s="9">
        <v>0</v>
      </c>
      <c r="C34" s="9">
        <v>300</v>
      </c>
      <c r="D34" s="9" t="s">
        <v>1745</v>
      </c>
      <c r="E34" s="9"/>
      <c r="F34" s="9" t="s">
        <v>3688</v>
      </c>
      <c r="G34" s="9" t="s">
        <v>3849</v>
      </c>
      <c r="H34" s="5" t="s">
        <v>3857</v>
      </c>
      <c r="I34" s="5">
        <v>0</v>
      </c>
      <c r="J34" s="5" t="s">
        <v>3850</v>
      </c>
      <c r="K34" s="5"/>
      <c r="L34" s="5" t="s">
        <v>1744</v>
      </c>
      <c r="M34" s="5" t="s">
        <v>4154</v>
      </c>
      <c r="T34" s="2"/>
    </row>
    <row r="35" spans="1:20" x14ac:dyDescent="0.25">
      <c r="A35" t="s">
        <v>3368</v>
      </c>
      <c r="B35" s="9">
        <v>0</v>
      </c>
      <c r="C35" s="9">
        <v>300</v>
      </c>
      <c r="D35" s="9" t="s">
        <v>1745</v>
      </c>
      <c r="E35" s="9"/>
      <c r="F35" s="9" t="s">
        <v>3687</v>
      </c>
      <c r="G35" s="9" t="s">
        <v>3849</v>
      </c>
      <c r="H35" s="5"/>
      <c r="I35" s="5">
        <v>0</v>
      </c>
      <c r="J35" s="5" t="s">
        <v>3850</v>
      </c>
      <c r="K35" s="5"/>
      <c r="L35" s="5"/>
      <c r="M35" s="5"/>
      <c r="T35" s="2"/>
    </row>
    <row r="36" spans="1:20" x14ac:dyDescent="0.25">
      <c r="A36" t="s">
        <v>3370</v>
      </c>
      <c r="B36" s="9">
        <v>0</v>
      </c>
      <c r="C36" s="9">
        <v>300</v>
      </c>
      <c r="D36" s="9" t="s">
        <v>1747</v>
      </c>
      <c r="E36" s="9"/>
      <c r="F36" s="9" t="s">
        <v>3689</v>
      </c>
      <c r="G36" s="9" t="s">
        <v>3849</v>
      </c>
      <c r="H36" s="5"/>
      <c r="I36" s="5">
        <v>0</v>
      </c>
      <c r="J36" s="5" t="s">
        <v>3850</v>
      </c>
      <c r="K36" s="5"/>
      <c r="L36" s="5" t="s">
        <v>1746</v>
      </c>
      <c r="M36" s="5" t="s">
        <v>4160</v>
      </c>
      <c r="T36" s="2"/>
    </row>
    <row r="37" spans="1:20" x14ac:dyDescent="0.25">
      <c r="A37" t="s">
        <v>3371</v>
      </c>
      <c r="B37" s="9">
        <v>0</v>
      </c>
      <c r="C37" s="9">
        <v>300</v>
      </c>
      <c r="D37" s="9" t="s">
        <v>1747</v>
      </c>
      <c r="E37" s="9"/>
      <c r="F37" s="9" t="s">
        <v>3690</v>
      </c>
      <c r="G37" s="9" t="s">
        <v>3849</v>
      </c>
      <c r="H37" s="5" t="s">
        <v>3857</v>
      </c>
      <c r="I37" s="5">
        <v>0</v>
      </c>
      <c r="J37" s="5" t="s">
        <v>3850</v>
      </c>
      <c r="K37" s="5"/>
      <c r="L37" s="5"/>
      <c r="M37" s="5"/>
      <c r="T37" s="2"/>
    </row>
    <row r="38" spans="1:20" x14ac:dyDescent="0.25">
      <c r="A38" t="s">
        <v>3556</v>
      </c>
      <c r="B38" s="9">
        <v>0</v>
      </c>
      <c r="C38" s="9">
        <v>300</v>
      </c>
      <c r="D38" s="9" t="s">
        <v>3615</v>
      </c>
      <c r="E38" s="9" t="s">
        <v>1751</v>
      </c>
      <c r="F38" s="9" t="s">
        <v>3840</v>
      </c>
      <c r="G38" s="9" t="s">
        <v>3849</v>
      </c>
      <c r="H38" s="5"/>
      <c r="I38" s="5">
        <v>0</v>
      </c>
      <c r="J38" s="5" t="s">
        <v>3850</v>
      </c>
      <c r="K38" s="5"/>
      <c r="L38" s="5" t="s">
        <v>1750</v>
      </c>
      <c r="M38" s="5" t="s">
        <v>4166</v>
      </c>
      <c r="T38" s="2"/>
    </row>
    <row r="39" spans="1:20" x14ac:dyDescent="0.25">
      <c r="A39" t="s">
        <v>3542</v>
      </c>
      <c r="B39" s="9">
        <v>0</v>
      </c>
      <c r="C39" s="9">
        <v>300</v>
      </c>
      <c r="D39" s="9" t="s">
        <v>3604</v>
      </c>
      <c r="E39" s="9" t="s">
        <v>3615</v>
      </c>
      <c r="F39" s="9" t="s">
        <v>3841</v>
      </c>
      <c r="G39" s="9" t="s">
        <v>3849</v>
      </c>
      <c r="H39" s="5"/>
      <c r="I39" s="5">
        <v>0</v>
      </c>
      <c r="J39" s="5" t="s">
        <v>3850</v>
      </c>
      <c r="K39" s="5"/>
      <c r="L39" s="5" t="s">
        <v>4167</v>
      </c>
      <c r="M39" s="5" t="s">
        <v>4168</v>
      </c>
      <c r="T39" s="2"/>
    </row>
    <row r="40" spans="1:20" x14ac:dyDescent="0.25">
      <c r="A40" t="s">
        <v>3377</v>
      </c>
      <c r="B40" s="9">
        <v>-300</v>
      </c>
      <c r="C40" s="9">
        <v>300</v>
      </c>
      <c r="D40" s="9" t="s">
        <v>1763</v>
      </c>
      <c r="E40" s="9"/>
      <c r="F40" s="9" t="s">
        <v>3696</v>
      </c>
      <c r="G40" s="9" t="s">
        <v>3849</v>
      </c>
      <c r="H40" s="5"/>
      <c r="I40" s="5">
        <v>0</v>
      </c>
      <c r="J40" s="5" t="s">
        <v>3850</v>
      </c>
      <c r="K40" s="5"/>
      <c r="L40" s="5" t="s">
        <v>1762</v>
      </c>
      <c r="M40" s="5" t="s">
        <v>4202</v>
      </c>
      <c r="T40" s="2"/>
    </row>
    <row r="41" spans="1:20" x14ac:dyDescent="0.25">
      <c r="A41" t="s">
        <v>3378</v>
      </c>
      <c r="B41" s="9">
        <v>-300</v>
      </c>
      <c r="C41" s="9">
        <v>300</v>
      </c>
      <c r="D41" s="9" t="s">
        <v>1763</v>
      </c>
      <c r="E41" s="9"/>
      <c r="F41" s="9" t="s">
        <v>3697</v>
      </c>
      <c r="G41" s="9" t="s">
        <v>3849</v>
      </c>
      <c r="H41" s="5" t="s">
        <v>3857</v>
      </c>
      <c r="I41" s="5">
        <v>0</v>
      </c>
      <c r="J41" s="5" t="s">
        <v>3850</v>
      </c>
      <c r="K41" s="5"/>
      <c r="L41" s="5"/>
      <c r="M41" s="5"/>
      <c r="T41" s="2"/>
    </row>
    <row r="42" spans="1:20" x14ac:dyDescent="0.25">
      <c r="A42" t="s">
        <v>3382</v>
      </c>
      <c r="B42" s="9">
        <v>-300</v>
      </c>
      <c r="C42" s="9">
        <v>300</v>
      </c>
      <c r="D42" s="9" t="s">
        <v>1771</v>
      </c>
      <c r="E42" s="9"/>
      <c r="F42" s="9" t="s">
        <v>3701</v>
      </c>
      <c r="G42" s="9" t="s">
        <v>3849</v>
      </c>
      <c r="H42" s="5"/>
      <c r="I42" s="5">
        <v>0</v>
      </c>
      <c r="J42" s="5" t="s">
        <v>3850</v>
      </c>
      <c r="K42" s="5"/>
      <c r="L42" s="5" t="s">
        <v>1770</v>
      </c>
      <c r="M42" s="5" t="s">
        <v>4253</v>
      </c>
      <c r="T42" s="2"/>
    </row>
    <row r="43" spans="1:20" x14ac:dyDescent="0.25">
      <c r="A43" t="s">
        <v>3383</v>
      </c>
      <c r="B43" s="9">
        <v>-300</v>
      </c>
      <c r="C43" s="9">
        <v>300</v>
      </c>
      <c r="D43" s="9" t="s">
        <v>1771</v>
      </c>
      <c r="E43" s="9"/>
      <c r="F43" s="9" t="s">
        <v>3702</v>
      </c>
      <c r="G43" s="9" t="s">
        <v>3849</v>
      </c>
      <c r="H43" s="5" t="s">
        <v>3857</v>
      </c>
      <c r="I43" s="5">
        <v>0</v>
      </c>
      <c r="J43" s="5" t="s">
        <v>3850</v>
      </c>
      <c r="K43" s="5"/>
      <c r="L43" s="5"/>
      <c r="M43" s="5"/>
      <c r="T43" s="2"/>
    </row>
    <row r="44" spans="1:20" x14ac:dyDescent="0.25">
      <c r="A44" t="s">
        <v>3552</v>
      </c>
      <c r="B44" s="9">
        <v>0</v>
      </c>
      <c r="C44" s="9">
        <v>300</v>
      </c>
      <c r="D44" s="9" t="s">
        <v>3573</v>
      </c>
      <c r="E44" s="9" t="s">
        <v>3573</v>
      </c>
      <c r="F44" s="9" t="s">
        <v>3843</v>
      </c>
      <c r="G44" s="9" t="s">
        <v>3849</v>
      </c>
      <c r="H44" s="5"/>
      <c r="I44" s="5">
        <v>0</v>
      </c>
      <c r="J44" s="5" t="s">
        <v>3850</v>
      </c>
      <c r="K44" s="5"/>
      <c r="L44" s="5" t="s">
        <v>1772</v>
      </c>
      <c r="M44" s="5" t="s">
        <v>4259</v>
      </c>
      <c r="T44" s="2"/>
    </row>
    <row r="45" spans="1:20" x14ac:dyDescent="0.25">
      <c r="A45" t="s">
        <v>3547</v>
      </c>
      <c r="B45" s="9">
        <v>0</v>
      </c>
      <c r="C45" s="9">
        <v>300</v>
      </c>
      <c r="D45" s="9" t="s">
        <v>1775</v>
      </c>
      <c r="E45" s="9" t="s">
        <v>1775</v>
      </c>
      <c r="F45" s="9" t="s">
        <v>3843</v>
      </c>
      <c r="G45" s="9" t="s">
        <v>3849</v>
      </c>
      <c r="H45" s="5"/>
      <c r="I45" s="5">
        <v>0</v>
      </c>
      <c r="J45" s="5" t="s">
        <v>3850</v>
      </c>
      <c r="K45" s="5"/>
      <c r="L45" s="5" t="s">
        <v>1774</v>
      </c>
      <c r="M45" s="5" t="s">
        <v>4260</v>
      </c>
      <c r="T45" s="2"/>
    </row>
    <row r="46" spans="1:20" x14ac:dyDescent="0.25">
      <c r="A46" t="s">
        <v>3386</v>
      </c>
      <c r="B46" s="9">
        <v>0</v>
      </c>
      <c r="C46" s="9">
        <v>300</v>
      </c>
      <c r="D46" s="9" t="s">
        <v>1779</v>
      </c>
      <c r="E46" s="9"/>
      <c r="F46" s="9" t="s">
        <v>3705</v>
      </c>
      <c r="G46" s="9" t="s">
        <v>3849</v>
      </c>
      <c r="H46" s="5" t="s">
        <v>3857</v>
      </c>
      <c r="I46" s="5">
        <v>0</v>
      </c>
      <c r="J46" s="5" t="s">
        <v>3853</v>
      </c>
      <c r="K46" s="5"/>
      <c r="L46" s="5" t="s">
        <v>1778</v>
      </c>
      <c r="M46" s="5" t="s">
        <v>4275</v>
      </c>
      <c r="T46" s="2"/>
    </row>
    <row r="47" spans="1:20" x14ac:dyDescent="0.25">
      <c r="A47" t="s">
        <v>3385</v>
      </c>
      <c r="B47" s="9">
        <v>0</v>
      </c>
      <c r="C47" s="9">
        <v>300</v>
      </c>
      <c r="D47" s="9" t="s">
        <v>1779</v>
      </c>
      <c r="E47" s="9"/>
      <c r="F47" s="9" t="s">
        <v>3704</v>
      </c>
      <c r="G47" s="9" t="s">
        <v>3849</v>
      </c>
      <c r="H47" s="5"/>
      <c r="I47" s="5">
        <v>0</v>
      </c>
      <c r="J47" s="5" t="s">
        <v>3850</v>
      </c>
      <c r="K47" s="5"/>
      <c r="L47" s="5"/>
      <c r="M47" s="5"/>
      <c r="T47" s="2"/>
    </row>
    <row r="48" spans="1:20" x14ac:dyDescent="0.25">
      <c r="A48" t="s">
        <v>3387</v>
      </c>
      <c r="B48" s="9">
        <v>-300</v>
      </c>
      <c r="C48" s="9">
        <v>300</v>
      </c>
      <c r="D48" s="9" t="s">
        <v>1781</v>
      </c>
      <c r="E48" s="9"/>
      <c r="F48" s="9" t="s">
        <v>3706</v>
      </c>
      <c r="G48" s="9" t="s">
        <v>3849</v>
      </c>
      <c r="H48" s="5" t="s">
        <v>3857</v>
      </c>
      <c r="I48" s="5">
        <v>0</v>
      </c>
      <c r="J48" s="5" t="s">
        <v>3850</v>
      </c>
      <c r="K48" s="5"/>
      <c r="L48" s="5" t="s">
        <v>1780</v>
      </c>
      <c r="M48" s="5" t="s">
        <v>4296</v>
      </c>
      <c r="T48" s="2"/>
    </row>
    <row r="49" spans="1:20" x14ac:dyDescent="0.25">
      <c r="A49" t="s">
        <v>3541</v>
      </c>
      <c r="B49" s="9">
        <v>0</v>
      </c>
      <c r="C49" s="9">
        <v>300</v>
      </c>
      <c r="D49" s="9" t="s">
        <v>3603</v>
      </c>
      <c r="E49" s="9" t="s">
        <v>3630</v>
      </c>
      <c r="F49" s="9" t="s">
        <v>3839</v>
      </c>
      <c r="G49" s="9" t="s">
        <v>3849</v>
      </c>
      <c r="H49" s="5"/>
      <c r="I49" s="5">
        <v>0</v>
      </c>
      <c r="J49" s="5" t="s">
        <v>3850</v>
      </c>
      <c r="K49" s="5"/>
      <c r="L49" s="5" t="s">
        <v>1782</v>
      </c>
      <c r="M49" s="5" t="s">
        <v>4314</v>
      </c>
      <c r="T49" s="2"/>
    </row>
    <row r="50" spans="1:20" x14ac:dyDescent="0.25">
      <c r="A50" t="s">
        <v>3539</v>
      </c>
      <c r="B50" s="9">
        <v>0</v>
      </c>
      <c r="C50" s="9">
        <v>300</v>
      </c>
      <c r="D50" s="9" t="s">
        <v>3601</v>
      </c>
      <c r="E50" s="9" t="s">
        <v>3629</v>
      </c>
      <c r="F50" s="9" t="s">
        <v>3839</v>
      </c>
      <c r="G50" s="9" t="s">
        <v>3849</v>
      </c>
      <c r="H50" s="5"/>
      <c r="I50" s="5">
        <v>3</v>
      </c>
      <c r="J50" s="5" t="s">
        <v>3850</v>
      </c>
      <c r="K50" s="5"/>
      <c r="L50" s="5" t="s">
        <v>1784</v>
      </c>
      <c r="M50" s="5" t="s">
        <v>4315</v>
      </c>
      <c r="T50" s="2"/>
    </row>
    <row r="51" spans="1:20" x14ac:dyDescent="0.25">
      <c r="A51" t="s">
        <v>3389</v>
      </c>
      <c r="B51" s="9">
        <v>0</v>
      </c>
      <c r="C51" s="9">
        <v>300</v>
      </c>
      <c r="D51" s="9" t="s">
        <v>1789</v>
      </c>
      <c r="E51" s="9"/>
      <c r="F51" s="9" t="s">
        <v>3708</v>
      </c>
      <c r="G51" s="9" t="s">
        <v>3849</v>
      </c>
      <c r="H51" s="5"/>
      <c r="I51" s="5">
        <v>0</v>
      </c>
      <c r="J51" s="5" t="s">
        <v>3850</v>
      </c>
      <c r="K51" s="5"/>
      <c r="L51" s="5" t="s">
        <v>1788</v>
      </c>
      <c r="M51" s="5" t="s">
        <v>4322</v>
      </c>
      <c r="T51" s="2"/>
    </row>
    <row r="52" spans="1:20" x14ac:dyDescent="0.25">
      <c r="A52" t="s">
        <v>3390</v>
      </c>
      <c r="B52" s="9">
        <v>-300</v>
      </c>
      <c r="C52" s="9">
        <v>300</v>
      </c>
      <c r="D52" s="9" t="s">
        <v>1789</v>
      </c>
      <c r="E52" s="9"/>
      <c r="F52" s="9" t="s">
        <v>3709</v>
      </c>
      <c r="G52" s="9" t="s">
        <v>3849</v>
      </c>
      <c r="H52" s="5" t="s">
        <v>3857</v>
      </c>
      <c r="I52" s="5">
        <v>0</v>
      </c>
      <c r="J52" s="5" t="s">
        <v>3853</v>
      </c>
      <c r="K52" s="5"/>
      <c r="L52" s="5"/>
      <c r="M52" s="5"/>
      <c r="T52" s="2"/>
    </row>
    <row r="53" spans="1:20" x14ac:dyDescent="0.25">
      <c r="A53" t="s">
        <v>3391</v>
      </c>
      <c r="B53" s="9">
        <v>0</v>
      </c>
      <c r="C53" s="9">
        <v>300</v>
      </c>
      <c r="D53" s="9" t="s">
        <v>3575</v>
      </c>
      <c r="E53" s="9" t="s">
        <v>3618</v>
      </c>
      <c r="F53" s="9" t="s">
        <v>3710</v>
      </c>
      <c r="G53" s="9" t="s">
        <v>3849</v>
      </c>
      <c r="H53" s="5"/>
      <c r="I53" s="5">
        <v>0</v>
      </c>
      <c r="J53" s="5" t="s">
        <v>3850</v>
      </c>
      <c r="K53" s="5"/>
      <c r="L53" s="5" t="s">
        <v>1790</v>
      </c>
      <c r="M53" s="5" t="s">
        <v>4327</v>
      </c>
      <c r="T53" s="2"/>
    </row>
    <row r="54" spans="1:20" x14ac:dyDescent="0.25">
      <c r="A54" t="s">
        <v>3392</v>
      </c>
      <c r="B54" s="9">
        <v>0</v>
      </c>
      <c r="C54" s="9">
        <v>300</v>
      </c>
      <c r="D54" s="9" t="s">
        <v>3576</v>
      </c>
      <c r="E54" s="9" t="s">
        <v>3619</v>
      </c>
      <c r="F54" s="9" t="s">
        <v>3710</v>
      </c>
      <c r="G54" s="9" t="s">
        <v>3849</v>
      </c>
      <c r="H54" s="5"/>
      <c r="I54" s="5">
        <v>1</v>
      </c>
      <c r="J54" s="5" t="s">
        <v>3850</v>
      </c>
      <c r="K54" s="5"/>
      <c r="L54" s="5" t="s">
        <v>1792</v>
      </c>
      <c r="M54" s="5" t="s">
        <v>4328</v>
      </c>
      <c r="T54" s="2"/>
    </row>
    <row r="55" spans="1:20" x14ac:dyDescent="0.25">
      <c r="A55" t="s">
        <v>3394</v>
      </c>
      <c r="B55" s="9">
        <v>-300</v>
      </c>
      <c r="C55" s="9">
        <v>300</v>
      </c>
      <c r="D55" s="9" t="s">
        <v>3577</v>
      </c>
      <c r="E55" s="9"/>
      <c r="F55" s="9" t="s">
        <v>3712</v>
      </c>
      <c r="G55" s="9" t="s">
        <v>3849</v>
      </c>
      <c r="H55" s="5" t="s">
        <v>3857</v>
      </c>
      <c r="I55" s="5">
        <v>0</v>
      </c>
      <c r="J55" s="5" t="s">
        <v>3850</v>
      </c>
      <c r="K55" s="5"/>
      <c r="L55" s="5" t="s">
        <v>1794</v>
      </c>
      <c r="M55" s="5" t="s">
        <v>4332</v>
      </c>
      <c r="T55" s="2"/>
    </row>
    <row r="56" spans="1:20" x14ac:dyDescent="0.25">
      <c r="A56" t="s">
        <v>3393</v>
      </c>
      <c r="B56" s="9">
        <v>-300</v>
      </c>
      <c r="C56" s="9">
        <v>300</v>
      </c>
      <c r="D56" s="9" t="s">
        <v>3577</v>
      </c>
      <c r="E56" s="9"/>
      <c r="F56" s="9" t="s">
        <v>3711</v>
      </c>
      <c r="G56" s="9" t="s">
        <v>3849</v>
      </c>
      <c r="H56" s="5"/>
      <c r="I56" s="5">
        <v>-2</v>
      </c>
      <c r="J56" s="5" t="s">
        <v>3850</v>
      </c>
      <c r="K56" s="5"/>
      <c r="L56" s="5"/>
      <c r="M56" s="5"/>
      <c r="T56" s="2"/>
    </row>
    <row r="57" spans="1:20" x14ac:dyDescent="0.25">
      <c r="A57" t="s">
        <v>3316</v>
      </c>
      <c r="B57" s="9">
        <v>0</v>
      </c>
      <c r="C57" s="9">
        <v>300</v>
      </c>
      <c r="D57" s="9" t="s">
        <v>1799</v>
      </c>
      <c r="E57" s="9"/>
      <c r="F57" s="9" t="s">
        <v>3640</v>
      </c>
      <c r="G57" s="9" t="s">
        <v>3849</v>
      </c>
      <c r="H57" s="5"/>
      <c r="I57" s="5">
        <v>0</v>
      </c>
      <c r="J57" s="5" t="s">
        <v>3850</v>
      </c>
      <c r="K57" s="5"/>
      <c r="L57" s="5" t="s">
        <v>1798</v>
      </c>
      <c r="M57" s="5" t="s">
        <v>4336</v>
      </c>
      <c r="T57" s="2"/>
    </row>
    <row r="58" spans="1:20" x14ac:dyDescent="0.25">
      <c r="A58" t="s">
        <v>3317</v>
      </c>
      <c r="B58" s="9">
        <v>0</v>
      </c>
      <c r="C58" s="9">
        <v>300</v>
      </c>
      <c r="D58" s="9" t="s">
        <v>1799</v>
      </c>
      <c r="E58" s="9"/>
      <c r="F58" s="9" t="s">
        <v>3641</v>
      </c>
      <c r="G58" s="9" t="s">
        <v>3849</v>
      </c>
      <c r="H58" s="5" t="s">
        <v>3857</v>
      </c>
      <c r="I58" s="5">
        <v>0</v>
      </c>
      <c r="J58" s="5" t="s">
        <v>3850</v>
      </c>
      <c r="K58" s="5"/>
      <c r="L58" s="5"/>
      <c r="M58" s="5"/>
      <c r="T58" s="2"/>
    </row>
    <row r="59" spans="1:20" x14ac:dyDescent="0.25">
      <c r="A59" t="s">
        <v>3397</v>
      </c>
      <c r="B59" s="9">
        <v>0</v>
      </c>
      <c r="C59" s="9">
        <v>300</v>
      </c>
      <c r="D59" s="9" t="s">
        <v>3578</v>
      </c>
      <c r="E59" s="9"/>
      <c r="F59" s="9" t="s">
        <v>3715</v>
      </c>
      <c r="G59" s="9" t="s">
        <v>3849</v>
      </c>
      <c r="H59" s="5" t="s">
        <v>3857</v>
      </c>
      <c r="I59" s="5">
        <v>0</v>
      </c>
      <c r="J59" s="5" t="s">
        <v>3850</v>
      </c>
      <c r="K59" s="5"/>
      <c r="L59" s="5" t="s">
        <v>1800</v>
      </c>
      <c r="M59" s="5" t="s">
        <v>4360</v>
      </c>
      <c r="T59" s="2"/>
    </row>
    <row r="60" spans="1:20" x14ac:dyDescent="0.25">
      <c r="A60" t="s">
        <v>3396</v>
      </c>
      <c r="B60" s="9">
        <v>0</v>
      </c>
      <c r="C60" s="9">
        <v>300</v>
      </c>
      <c r="D60" s="9" t="s">
        <v>3578</v>
      </c>
      <c r="E60" s="9"/>
      <c r="F60" s="9" t="s">
        <v>3714</v>
      </c>
      <c r="G60" s="9" t="s">
        <v>3849</v>
      </c>
      <c r="H60" s="5"/>
      <c r="I60" s="5">
        <v>0</v>
      </c>
      <c r="J60" s="5" t="s">
        <v>3850</v>
      </c>
      <c r="K60" s="5"/>
      <c r="L60" s="5"/>
      <c r="M60" s="5"/>
      <c r="T60" s="2"/>
    </row>
    <row r="61" spans="1:20" x14ac:dyDescent="0.25">
      <c r="A61" t="s">
        <v>3398</v>
      </c>
      <c r="B61" s="9">
        <v>0</v>
      </c>
      <c r="C61" s="9">
        <v>300</v>
      </c>
      <c r="D61" s="9" t="s">
        <v>3579</v>
      </c>
      <c r="E61" s="9" t="s">
        <v>222</v>
      </c>
      <c r="F61" s="9" t="s">
        <v>3716</v>
      </c>
      <c r="G61" s="9" t="s">
        <v>3849</v>
      </c>
      <c r="H61" s="5"/>
      <c r="I61" s="5">
        <v>0</v>
      </c>
      <c r="J61" s="5" t="s">
        <v>3850</v>
      </c>
      <c r="K61" s="5"/>
      <c r="L61" s="5" t="s">
        <v>1802</v>
      </c>
      <c r="M61" s="5" t="s">
        <v>4361</v>
      </c>
      <c r="T61" s="2"/>
    </row>
    <row r="62" spans="1:20" x14ac:dyDescent="0.25">
      <c r="A62" t="s">
        <v>3399</v>
      </c>
      <c r="B62" s="9">
        <v>-300</v>
      </c>
      <c r="C62" s="9">
        <v>300</v>
      </c>
      <c r="D62" s="9" t="s">
        <v>1805</v>
      </c>
      <c r="E62" s="9"/>
      <c r="F62" s="9" t="s">
        <v>3717</v>
      </c>
      <c r="G62" s="9" t="s">
        <v>3849</v>
      </c>
      <c r="H62" s="5"/>
      <c r="I62" s="5">
        <v>0</v>
      </c>
      <c r="J62" s="5" t="s">
        <v>3850</v>
      </c>
      <c r="K62" s="5"/>
      <c r="L62" s="5" t="s">
        <v>1804</v>
      </c>
      <c r="M62" s="5" t="s">
        <v>4366</v>
      </c>
      <c r="T62" s="2"/>
    </row>
    <row r="63" spans="1:20" x14ac:dyDescent="0.25">
      <c r="A63" t="s">
        <v>3400</v>
      </c>
      <c r="B63" s="9">
        <v>-300</v>
      </c>
      <c r="C63" s="9">
        <v>300</v>
      </c>
      <c r="D63" s="9" t="s">
        <v>1805</v>
      </c>
      <c r="E63" s="9"/>
      <c r="F63" s="9" t="s">
        <v>3718</v>
      </c>
      <c r="G63" s="9" t="s">
        <v>3849</v>
      </c>
      <c r="H63" s="5" t="s">
        <v>3857</v>
      </c>
      <c r="I63" s="5">
        <v>-1</v>
      </c>
      <c r="J63" s="5" t="s">
        <v>3850</v>
      </c>
      <c r="K63" s="5"/>
      <c r="L63" s="5"/>
      <c r="M63" s="5"/>
      <c r="T63" s="2"/>
    </row>
    <row r="64" spans="1:20" x14ac:dyDescent="0.25">
      <c r="A64" t="s">
        <v>3401</v>
      </c>
      <c r="B64" s="9">
        <v>-300</v>
      </c>
      <c r="C64" s="9">
        <v>300</v>
      </c>
      <c r="D64" s="9" t="s">
        <v>1807</v>
      </c>
      <c r="E64" s="9"/>
      <c r="F64" s="9" t="s">
        <v>3719</v>
      </c>
      <c r="G64" s="9" t="s">
        <v>3849</v>
      </c>
      <c r="H64" s="5"/>
      <c r="I64" s="5">
        <v>0</v>
      </c>
      <c r="J64" s="5" t="s">
        <v>3851</v>
      </c>
      <c r="K64" s="5"/>
      <c r="L64" s="5" t="s">
        <v>1806</v>
      </c>
      <c r="M64" s="5" t="s">
        <v>4367</v>
      </c>
      <c r="T64" s="2"/>
    </row>
    <row r="65" spans="1:20" x14ac:dyDescent="0.25">
      <c r="A65" t="s">
        <v>3402</v>
      </c>
      <c r="B65" s="9">
        <v>-300</v>
      </c>
      <c r="C65" s="9">
        <v>300</v>
      </c>
      <c r="D65" s="9" t="s">
        <v>1807</v>
      </c>
      <c r="E65" s="9"/>
      <c r="F65" s="9" t="s">
        <v>3720</v>
      </c>
      <c r="G65" s="9" t="s">
        <v>3849</v>
      </c>
      <c r="H65" s="5" t="s">
        <v>3857</v>
      </c>
      <c r="I65" s="5">
        <v>-1</v>
      </c>
      <c r="J65" s="5" t="s">
        <v>3850</v>
      </c>
      <c r="K65" s="5"/>
      <c r="L65" s="5"/>
      <c r="M65" s="5"/>
      <c r="T65" s="2"/>
    </row>
    <row r="66" spans="1:20" x14ac:dyDescent="0.25">
      <c r="A66" t="s">
        <v>3403</v>
      </c>
      <c r="B66" s="9">
        <v>0</v>
      </c>
      <c r="C66" s="9">
        <v>300</v>
      </c>
      <c r="D66" s="9" t="s">
        <v>1809</v>
      </c>
      <c r="E66" s="9"/>
      <c r="F66" s="9" t="s">
        <v>3716</v>
      </c>
      <c r="G66" s="9" t="s">
        <v>3849</v>
      </c>
      <c r="H66" s="5" t="s">
        <v>3857</v>
      </c>
      <c r="I66" s="5">
        <v>0</v>
      </c>
      <c r="J66" s="5" t="s">
        <v>3851</v>
      </c>
      <c r="K66" s="5"/>
      <c r="L66" s="5" t="s">
        <v>1808</v>
      </c>
      <c r="M66" s="5" t="s">
        <v>4372</v>
      </c>
      <c r="T66" s="2"/>
    </row>
    <row r="67" spans="1:20" x14ac:dyDescent="0.25">
      <c r="A67" t="s">
        <v>3405</v>
      </c>
      <c r="B67" s="9">
        <v>-300</v>
      </c>
      <c r="C67" s="9">
        <v>300</v>
      </c>
      <c r="D67" s="9" t="s">
        <v>1813</v>
      </c>
      <c r="E67" s="9"/>
      <c r="F67" s="9" t="s">
        <v>3722</v>
      </c>
      <c r="G67" s="9" t="s">
        <v>3849</v>
      </c>
      <c r="H67" s="5"/>
      <c r="I67" s="5">
        <v>-1</v>
      </c>
      <c r="J67" s="5" t="s">
        <v>3850</v>
      </c>
      <c r="K67" s="5"/>
      <c r="L67" s="5" t="s">
        <v>1812</v>
      </c>
      <c r="M67" s="5" t="s">
        <v>4378</v>
      </c>
      <c r="T67" s="2"/>
    </row>
    <row r="68" spans="1:20" x14ac:dyDescent="0.25">
      <c r="A68" t="s">
        <v>3406</v>
      </c>
      <c r="B68" s="9">
        <v>-300</v>
      </c>
      <c r="C68" s="9">
        <v>300</v>
      </c>
      <c r="D68" s="9" t="s">
        <v>1813</v>
      </c>
      <c r="E68" s="9"/>
      <c r="F68" s="9" t="s">
        <v>3723</v>
      </c>
      <c r="G68" s="9" t="s">
        <v>3849</v>
      </c>
      <c r="H68" s="5" t="s">
        <v>3857</v>
      </c>
      <c r="I68" s="5">
        <v>0</v>
      </c>
      <c r="J68" s="5" t="s">
        <v>3851</v>
      </c>
      <c r="K68" s="5"/>
      <c r="L68" s="5"/>
      <c r="M68" s="5"/>
      <c r="T68" s="2"/>
    </row>
    <row r="69" spans="1:20" x14ac:dyDescent="0.25">
      <c r="A69" t="s">
        <v>3407</v>
      </c>
      <c r="B69" s="9">
        <v>0</v>
      </c>
      <c r="C69" s="9">
        <v>300</v>
      </c>
      <c r="D69" s="9" t="s">
        <v>3581</v>
      </c>
      <c r="E69" s="9" t="s">
        <v>3621</v>
      </c>
      <c r="F69" s="9" t="s">
        <v>3724</v>
      </c>
      <c r="G69" s="9" t="s">
        <v>3849</v>
      </c>
      <c r="H69" s="5"/>
      <c r="I69" s="5">
        <v>-2</v>
      </c>
      <c r="J69" s="5" t="s">
        <v>3850</v>
      </c>
      <c r="K69" s="5"/>
      <c r="L69" s="5" t="s">
        <v>1814</v>
      </c>
      <c r="M69" s="5" t="s">
        <v>4379</v>
      </c>
      <c r="T69" s="2"/>
    </row>
    <row r="70" spans="1:20" x14ac:dyDescent="0.25">
      <c r="A70" t="s">
        <v>3408</v>
      </c>
      <c r="B70" s="9">
        <v>0</v>
      </c>
      <c r="C70" s="9">
        <v>300</v>
      </c>
      <c r="D70" s="9" t="s">
        <v>3581</v>
      </c>
      <c r="E70" s="9" t="s">
        <v>3621</v>
      </c>
      <c r="F70" s="9" t="s">
        <v>3725</v>
      </c>
      <c r="G70" s="9" t="s">
        <v>3849</v>
      </c>
      <c r="H70" s="5"/>
      <c r="I70" s="5">
        <v>0</v>
      </c>
      <c r="J70" s="5" t="s">
        <v>3851</v>
      </c>
      <c r="K70" s="5"/>
      <c r="L70" s="5"/>
      <c r="M70" s="5"/>
      <c r="T70" s="2"/>
    </row>
    <row r="71" spans="1:20" x14ac:dyDescent="0.25">
      <c r="A71" t="s">
        <v>3555</v>
      </c>
      <c r="B71" s="9">
        <v>-300</v>
      </c>
      <c r="C71" s="9">
        <v>300</v>
      </c>
      <c r="D71" s="9" t="s">
        <v>3614</v>
      </c>
      <c r="E71" s="9" t="s">
        <v>3582</v>
      </c>
      <c r="F71" s="9" t="s">
        <v>3847</v>
      </c>
      <c r="G71" s="9" t="s">
        <v>3849</v>
      </c>
      <c r="H71" s="5"/>
      <c r="I71" s="5">
        <v>0</v>
      </c>
      <c r="J71" s="5" t="s">
        <v>3850</v>
      </c>
      <c r="K71" s="5"/>
      <c r="L71" s="5"/>
      <c r="M71" s="5"/>
      <c r="T71" s="2"/>
    </row>
    <row r="72" spans="1:20" x14ac:dyDescent="0.25">
      <c r="A72" t="s">
        <v>3409</v>
      </c>
      <c r="B72" s="9">
        <v>-300</v>
      </c>
      <c r="C72" s="9">
        <v>300</v>
      </c>
      <c r="D72" s="9" t="s">
        <v>1819</v>
      </c>
      <c r="E72" s="9"/>
      <c r="F72" s="9" t="s">
        <v>3726</v>
      </c>
      <c r="G72" s="9" t="s">
        <v>3849</v>
      </c>
      <c r="H72" s="5"/>
      <c r="I72" s="5">
        <v>0</v>
      </c>
      <c r="J72" s="5" t="s">
        <v>3850</v>
      </c>
      <c r="K72" s="5"/>
      <c r="L72" s="5" t="s">
        <v>1818</v>
      </c>
      <c r="M72" s="5" t="s">
        <v>4396</v>
      </c>
      <c r="T72" s="2"/>
    </row>
    <row r="73" spans="1:20" x14ac:dyDescent="0.25">
      <c r="A73" t="s">
        <v>3410</v>
      </c>
      <c r="B73" s="9">
        <v>-300</v>
      </c>
      <c r="C73" s="9">
        <v>300</v>
      </c>
      <c r="D73" s="9" t="s">
        <v>1819</v>
      </c>
      <c r="E73" s="9"/>
      <c r="F73" s="9" t="s">
        <v>3727</v>
      </c>
      <c r="G73" s="9" t="s">
        <v>3849</v>
      </c>
      <c r="H73" s="5" t="s">
        <v>3857</v>
      </c>
      <c r="I73" s="5">
        <v>0</v>
      </c>
      <c r="J73" s="5" t="s">
        <v>3850</v>
      </c>
      <c r="K73" s="5"/>
      <c r="L73" s="5"/>
      <c r="M73" s="5"/>
      <c r="T73" s="2"/>
    </row>
    <row r="74" spans="1:20" x14ac:dyDescent="0.25">
      <c r="A74" t="s">
        <v>3411</v>
      </c>
      <c r="B74" s="9">
        <v>0</v>
      </c>
      <c r="C74" s="9">
        <v>300</v>
      </c>
      <c r="D74" s="9" t="s">
        <v>3583</v>
      </c>
      <c r="E74" s="9" t="s">
        <v>3622</v>
      </c>
      <c r="F74" s="9" t="s">
        <v>3728</v>
      </c>
      <c r="G74" s="9" t="s">
        <v>3849</v>
      </c>
      <c r="H74" s="5"/>
      <c r="I74" s="5">
        <v>0</v>
      </c>
      <c r="J74" s="5" t="s">
        <v>3850</v>
      </c>
      <c r="K74" s="5"/>
      <c r="L74" s="5" t="s">
        <v>1820</v>
      </c>
      <c r="M74" s="5" t="s">
        <v>4399</v>
      </c>
      <c r="T74" s="2"/>
    </row>
    <row r="75" spans="1:20" x14ac:dyDescent="0.25">
      <c r="A75" t="s">
        <v>3412</v>
      </c>
      <c r="B75" s="9">
        <v>-300</v>
      </c>
      <c r="C75" s="9">
        <v>300</v>
      </c>
      <c r="D75" s="9" t="s">
        <v>1823</v>
      </c>
      <c r="E75" s="9"/>
      <c r="F75" s="9" t="s">
        <v>3729</v>
      </c>
      <c r="G75" s="9" t="s">
        <v>3849</v>
      </c>
      <c r="H75" s="5"/>
      <c r="I75" s="5">
        <v>1</v>
      </c>
      <c r="J75" s="5" t="s">
        <v>3850</v>
      </c>
      <c r="K75" s="5"/>
      <c r="L75" s="5" t="s">
        <v>1822</v>
      </c>
      <c r="M75" s="5" t="s">
        <v>4404</v>
      </c>
      <c r="T75" s="2"/>
    </row>
    <row r="76" spans="1:20" x14ac:dyDescent="0.25">
      <c r="A76" t="s">
        <v>3413</v>
      </c>
      <c r="B76" s="9">
        <v>-300</v>
      </c>
      <c r="C76" s="9">
        <v>300</v>
      </c>
      <c r="D76" s="9" t="s">
        <v>1823</v>
      </c>
      <c r="E76" s="9"/>
      <c r="F76" s="9" t="s">
        <v>3730</v>
      </c>
      <c r="G76" s="9" t="s">
        <v>3849</v>
      </c>
      <c r="H76" s="5" t="s">
        <v>3857</v>
      </c>
      <c r="I76" s="5">
        <v>0</v>
      </c>
      <c r="J76" s="5" t="s">
        <v>3853</v>
      </c>
      <c r="K76" s="5"/>
      <c r="L76" s="5"/>
      <c r="M76" s="5"/>
      <c r="T76" s="2"/>
    </row>
    <row r="77" spans="1:20" x14ac:dyDescent="0.25">
      <c r="A77" t="s">
        <v>3414</v>
      </c>
      <c r="B77" s="9">
        <v>0</v>
      </c>
      <c r="C77" s="9">
        <v>300</v>
      </c>
      <c r="D77" s="9" t="s">
        <v>1825</v>
      </c>
      <c r="E77" s="9"/>
      <c r="F77" s="9" t="s">
        <v>3728</v>
      </c>
      <c r="G77" s="9" t="s">
        <v>3849</v>
      </c>
      <c r="H77" s="5" t="s">
        <v>3857</v>
      </c>
      <c r="I77" s="5">
        <v>0</v>
      </c>
      <c r="J77" s="5" t="s">
        <v>3850</v>
      </c>
      <c r="K77" s="5"/>
      <c r="L77" s="5" t="s">
        <v>1824</v>
      </c>
      <c r="M77" s="5" t="s">
        <v>4407</v>
      </c>
      <c r="T77" s="2"/>
    </row>
    <row r="78" spans="1:20" x14ac:dyDescent="0.25">
      <c r="A78" t="s">
        <v>3415</v>
      </c>
      <c r="B78" s="9">
        <v>-300</v>
      </c>
      <c r="C78" s="9">
        <v>300</v>
      </c>
      <c r="D78" s="9" t="s">
        <v>1827</v>
      </c>
      <c r="E78" s="9"/>
      <c r="F78" s="9" t="s">
        <v>3731</v>
      </c>
      <c r="G78" s="9" t="s">
        <v>3849</v>
      </c>
      <c r="H78" s="5"/>
      <c r="I78" s="5">
        <v>0</v>
      </c>
      <c r="J78" s="5" t="s">
        <v>3850</v>
      </c>
      <c r="K78" s="5"/>
      <c r="L78" s="5" t="s">
        <v>1826</v>
      </c>
      <c r="M78" s="5" t="s">
        <v>4408</v>
      </c>
      <c r="T78" s="2"/>
    </row>
    <row r="79" spans="1:20" x14ac:dyDescent="0.25">
      <c r="A79" t="s">
        <v>3416</v>
      </c>
      <c r="B79" s="9">
        <v>-300</v>
      </c>
      <c r="C79" s="9">
        <v>300</v>
      </c>
      <c r="D79" s="9" t="s">
        <v>1827</v>
      </c>
      <c r="E79" s="9"/>
      <c r="F79" s="9" t="s">
        <v>3732</v>
      </c>
      <c r="G79" s="9" t="s">
        <v>3849</v>
      </c>
      <c r="H79" s="5" t="s">
        <v>3857</v>
      </c>
      <c r="I79" s="5">
        <v>-1</v>
      </c>
      <c r="J79" s="5" t="s">
        <v>3850</v>
      </c>
      <c r="K79" s="5"/>
      <c r="L79" s="5"/>
      <c r="M79" s="5"/>
      <c r="T79" s="2"/>
    </row>
    <row r="80" spans="1:20" x14ac:dyDescent="0.25">
      <c r="A80" t="s">
        <v>3418</v>
      </c>
      <c r="B80" s="9">
        <v>0</v>
      </c>
      <c r="C80" s="9">
        <v>300</v>
      </c>
      <c r="D80" s="9" t="s">
        <v>3585</v>
      </c>
      <c r="E80" s="9" t="s">
        <v>222</v>
      </c>
      <c r="F80" s="9" t="s">
        <v>3734</v>
      </c>
      <c r="G80" s="9" t="s">
        <v>3849</v>
      </c>
      <c r="H80" s="5"/>
      <c r="I80" s="5">
        <v>-1</v>
      </c>
      <c r="J80" s="5" t="s">
        <v>3850</v>
      </c>
      <c r="K80" s="5"/>
      <c r="L80" s="5" t="s">
        <v>1830</v>
      </c>
      <c r="M80" s="5" t="s">
        <v>4418</v>
      </c>
      <c r="T80" s="2"/>
    </row>
    <row r="81" spans="1:20" x14ac:dyDescent="0.25">
      <c r="A81" t="s">
        <v>3419</v>
      </c>
      <c r="B81" s="9">
        <v>-300</v>
      </c>
      <c r="C81" s="9">
        <v>300</v>
      </c>
      <c r="D81" s="9" t="s">
        <v>3586</v>
      </c>
      <c r="E81" s="9"/>
      <c r="F81" s="9" t="s">
        <v>3735</v>
      </c>
      <c r="G81" s="9" t="s">
        <v>3849</v>
      </c>
      <c r="H81" s="5"/>
      <c r="I81" s="5">
        <v>0</v>
      </c>
      <c r="J81" s="5" t="s">
        <v>3851</v>
      </c>
      <c r="K81" s="5"/>
      <c r="L81" s="5" t="s">
        <v>1832</v>
      </c>
      <c r="M81" s="5" t="s">
        <v>4419</v>
      </c>
      <c r="T81" s="2"/>
    </row>
    <row r="82" spans="1:20" x14ac:dyDescent="0.25">
      <c r="A82" t="s">
        <v>3420</v>
      </c>
      <c r="B82" s="9">
        <v>-300</v>
      </c>
      <c r="C82" s="9">
        <v>300</v>
      </c>
      <c r="D82" s="9" t="s">
        <v>3586</v>
      </c>
      <c r="E82" s="9"/>
      <c r="F82" s="9" t="s">
        <v>3736</v>
      </c>
      <c r="G82" s="9" t="s">
        <v>3849</v>
      </c>
      <c r="H82" s="5" t="s">
        <v>3857</v>
      </c>
      <c r="I82" s="5">
        <v>0</v>
      </c>
      <c r="J82" s="5" t="s">
        <v>3852</v>
      </c>
      <c r="K82" s="5"/>
      <c r="L82" s="5"/>
      <c r="M82" s="5"/>
      <c r="T82" s="2"/>
    </row>
    <row r="83" spans="1:20" x14ac:dyDescent="0.25">
      <c r="A83" t="s">
        <v>3421</v>
      </c>
      <c r="B83" s="9">
        <v>-300</v>
      </c>
      <c r="C83" s="9">
        <v>300</v>
      </c>
      <c r="D83" s="9" t="s">
        <v>1835</v>
      </c>
      <c r="E83" s="9"/>
      <c r="F83" s="9" t="s">
        <v>3734</v>
      </c>
      <c r="G83" s="9" t="s">
        <v>3849</v>
      </c>
      <c r="H83" s="5"/>
      <c r="I83" s="5">
        <v>-1</v>
      </c>
      <c r="J83" s="5" t="s">
        <v>3850</v>
      </c>
      <c r="K83" s="5"/>
      <c r="L83" s="5" t="s">
        <v>1834</v>
      </c>
      <c r="M83" s="5" t="s">
        <v>4434</v>
      </c>
      <c r="T83" s="2"/>
    </row>
    <row r="84" spans="1:20" x14ac:dyDescent="0.25">
      <c r="A84" t="s">
        <v>3422</v>
      </c>
      <c r="B84" s="9">
        <v>-300</v>
      </c>
      <c r="C84" s="9">
        <v>300</v>
      </c>
      <c r="D84" s="9" t="s">
        <v>1835</v>
      </c>
      <c r="E84" s="9"/>
      <c r="F84" s="9" t="s">
        <v>3737</v>
      </c>
      <c r="G84" s="9" t="s">
        <v>3849</v>
      </c>
      <c r="H84" s="5" t="s">
        <v>3857</v>
      </c>
      <c r="I84" s="5">
        <v>0</v>
      </c>
      <c r="J84" s="5" t="s">
        <v>3851</v>
      </c>
      <c r="K84" s="5"/>
      <c r="L84" s="5"/>
      <c r="M84" s="5"/>
      <c r="T84" s="2"/>
    </row>
    <row r="85" spans="1:20" x14ac:dyDescent="0.25">
      <c r="A85" t="s">
        <v>3423</v>
      </c>
      <c r="B85" s="9">
        <v>0</v>
      </c>
      <c r="C85" s="9">
        <v>300</v>
      </c>
      <c r="D85" s="9" t="s">
        <v>1837</v>
      </c>
      <c r="E85" s="9"/>
      <c r="F85" s="9" t="s">
        <v>3738</v>
      </c>
      <c r="G85" s="9" t="s">
        <v>3849</v>
      </c>
      <c r="H85" s="5" t="s">
        <v>3857</v>
      </c>
      <c r="I85" s="5">
        <v>0</v>
      </c>
      <c r="J85" s="5" t="s">
        <v>3854</v>
      </c>
      <c r="K85" s="5"/>
      <c r="L85" s="5" t="s">
        <v>1836</v>
      </c>
      <c r="M85" s="5" t="s">
        <v>4435</v>
      </c>
      <c r="T85" s="2"/>
    </row>
    <row r="86" spans="1:20" x14ac:dyDescent="0.25">
      <c r="A86" t="s">
        <v>3425</v>
      </c>
      <c r="B86" s="9">
        <v>0</v>
      </c>
      <c r="C86" s="9">
        <v>300</v>
      </c>
      <c r="D86" s="9" t="s">
        <v>3587</v>
      </c>
      <c r="E86" s="9" t="s">
        <v>222</v>
      </c>
      <c r="F86" s="9" t="s">
        <v>3740</v>
      </c>
      <c r="G86" s="9" t="s">
        <v>3849</v>
      </c>
      <c r="H86" s="5"/>
      <c r="I86" s="5">
        <v>-1</v>
      </c>
      <c r="J86" s="5" t="s">
        <v>3853</v>
      </c>
      <c r="K86" s="5"/>
      <c r="L86" s="5" t="s">
        <v>1840</v>
      </c>
      <c r="M86" s="5" t="s">
        <v>4445</v>
      </c>
      <c r="T86" s="2"/>
    </row>
    <row r="87" spans="1:20" x14ac:dyDescent="0.25">
      <c r="A87" t="s">
        <v>3426</v>
      </c>
      <c r="B87" s="9">
        <v>-300</v>
      </c>
      <c r="C87" s="9">
        <v>300</v>
      </c>
      <c r="D87" s="9" t="s">
        <v>1843</v>
      </c>
      <c r="E87" s="9"/>
      <c r="F87" s="9" t="s">
        <v>3740</v>
      </c>
      <c r="G87" s="9" t="s">
        <v>3849</v>
      </c>
      <c r="H87" s="5" t="s">
        <v>3857</v>
      </c>
      <c r="I87" s="5">
        <v>1</v>
      </c>
      <c r="J87" s="5" t="s">
        <v>3850</v>
      </c>
      <c r="K87" s="5"/>
      <c r="L87" s="5" t="s">
        <v>1842</v>
      </c>
      <c r="M87" s="5" t="s">
        <v>4446</v>
      </c>
      <c r="T87" s="2"/>
    </row>
    <row r="88" spans="1:20" x14ac:dyDescent="0.25">
      <c r="A88" t="s">
        <v>3427</v>
      </c>
      <c r="B88" s="9">
        <v>0</v>
      </c>
      <c r="C88" s="9">
        <v>300</v>
      </c>
      <c r="D88" s="9" t="s">
        <v>3588</v>
      </c>
      <c r="E88" s="9" t="s">
        <v>222</v>
      </c>
      <c r="F88" s="9" t="s">
        <v>3741</v>
      </c>
      <c r="G88" s="9" t="s">
        <v>3849</v>
      </c>
      <c r="H88" s="5"/>
      <c r="I88" s="5">
        <v>1</v>
      </c>
      <c r="J88" s="5" t="s">
        <v>3850</v>
      </c>
      <c r="K88" s="5"/>
      <c r="L88" s="5" t="s">
        <v>1844</v>
      </c>
      <c r="M88" s="5" t="s">
        <v>4447</v>
      </c>
      <c r="T88" s="2"/>
    </row>
    <row r="89" spans="1:20" x14ac:dyDescent="0.25">
      <c r="A89" t="s">
        <v>3428</v>
      </c>
      <c r="B89" s="9">
        <v>0</v>
      </c>
      <c r="C89" s="9">
        <v>300</v>
      </c>
      <c r="D89" s="9" t="s">
        <v>3589</v>
      </c>
      <c r="E89" s="9"/>
      <c r="F89" s="9" t="s">
        <v>3742</v>
      </c>
      <c r="G89" s="9" t="s">
        <v>3849</v>
      </c>
      <c r="H89" s="5" t="s">
        <v>3857</v>
      </c>
      <c r="I89" s="5">
        <v>0</v>
      </c>
      <c r="J89" s="5" t="s">
        <v>3851</v>
      </c>
      <c r="K89" s="5"/>
      <c r="L89" s="5" t="s">
        <v>1846</v>
      </c>
      <c r="M89" s="5" t="s">
        <v>4448</v>
      </c>
      <c r="T89" s="2"/>
    </row>
    <row r="90" spans="1:20" x14ac:dyDescent="0.25">
      <c r="A90" t="s">
        <v>3429</v>
      </c>
      <c r="B90" s="9">
        <v>-300</v>
      </c>
      <c r="C90" s="9">
        <v>300</v>
      </c>
      <c r="D90" s="9" t="s">
        <v>1849</v>
      </c>
      <c r="E90" s="9"/>
      <c r="F90" s="9" t="s">
        <v>3743</v>
      </c>
      <c r="G90" s="9" t="s">
        <v>3849</v>
      </c>
      <c r="H90" s="5"/>
      <c r="I90" s="5">
        <v>0</v>
      </c>
      <c r="J90" s="5" t="s">
        <v>3854</v>
      </c>
      <c r="K90" s="5"/>
      <c r="L90" s="5" t="s">
        <v>1848</v>
      </c>
      <c r="M90" s="5" t="s">
        <v>4456</v>
      </c>
      <c r="T90" s="2"/>
    </row>
    <row r="91" spans="1:20" x14ac:dyDescent="0.25">
      <c r="A91" t="s">
        <v>3430</v>
      </c>
      <c r="B91" s="9">
        <v>-300</v>
      </c>
      <c r="C91" s="9">
        <v>300</v>
      </c>
      <c r="D91" s="9" t="s">
        <v>1849</v>
      </c>
      <c r="E91" s="9"/>
      <c r="F91" s="9" t="s">
        <v>3744</v>
      </c>
      <c r="G91" s="9" t="s">
        <v>3849</v>
      </c>
      <c r="H91" s="5" t="s">
        <v>3857</v>
      </c>
      <c r="I91" s="5">
        <v>-1</v>
      </c>
      <c r="J91" s="5" t="s">
        <v>3853</v>
      </c>
      <c r="K91" s="5"/>
      <c r="L91" s="5"/>
      <c r="M91" s="5"/>
      <c r="T91" s="2"/>
    </row>
    <row r="92" spans="1:20" x14ac:dyDescent="0.25">
      <c r="A92" t="s">
        <v>3431</v>
      </c>
      <c r="B92" s="9">
        <v>-300</v>
      </c>
      <c r="C92" s="9">
        <v>300</v>
      </c>
      <c r="D92" s="9" t="s">
        <v>1851</v>
      </c>
      <c r="E92" s="9"/>
      <c r="F92" s="9" t="s">
        <v>3745</v>
      </c>
      <c r="G92" s="9" t="s">
        <v>3849</v>
      </c>
      <c r="H92" s="5" t="s">
        <v>3857</v>
      </c>
      <c r="I92" s="5">
        <v>0</v>
      </c>
      <c r="J92" s="5" t="s">
        <v>3850</v>
      </c>
      <c r="K92" s="5"/>
      <c r="L92" s="5" t="s">
        <v>1850</v>
      </c>
      <c r="M92" s="5" t="s">
        <v>4457</v>
      </c>
      <c r="T92" s="2"/>
    </row>
    <row r="93" spans="1:20" x14ac:dyDescent="0.25">
      <c r="A93" t="s">
        <v>5249</v>
      </c>
      <c r="B93" s="9">
        <v>-300</v>
      </c>
      <c r="C93" s="9">
        <v>300</v>
      </c>
      <c r="D93" s="9" t="s">
        <v>1859</v>
      </c>
      <c r="E93" s="9"/>
      <c r="F93" s="9" t="s">
        <v>3748</v>
      </c>
      <c r="G93" s="9" t="s">
        <v>3849</v>
      </c>
      <c r="H93" s="5" t="s">
        <v>3857</v>
      </c>
      <c r="I93" s="5">
        <v>0</v>
      </c>
      <c r="J93" s="5" t="s">
        <v>3850</v>
      </c>
      <c r="K93" s="5"/>
      <c r="L93" s="5" t="s">
        <v>1858</v>
      </c>
      <c r="M93" s="5" t="s">
        <v>4509</v>
      </c>
      <c r="T93" s="2"/>
    </row>
    <row r="94" spans="1:20" x14ac:dyDescent="0.25">
      <c r="A94" t="s">
        <v>3434</v>
      </c>
      <c r="B94" s="9">
        <v>-300</v>
      </c>
      <c r="C94" s="9">
        <v>300</v>
      </c>
      <c r="D94" s="9" t="s">
        <v>1861</v>
      </c>
      <c r="E94" s="9"/>
      <c r="F94" s="9" t="s">
        <v>3749</v>
      </c>
      <c r="G94" s="9" t="s">
        <v>3849</v>
      </c>
      <c r="H94" s="5"/>
      <c r="I94" s="5">
        <v>-1</v>
      </c>
      <c r="J94" s="5" t="s">
        <v>3850</v>
      </c>
      <c r="K94" s="5"/>
      <c r="L94" s="5" t="s">
        <v>1860</v>
      </c>
      <c r="M94" s="5" t="s">
        <v>4511</v>
      </c>
      <c r="T94" s="2"/>
    </row>
    <row r="95" spans="1:20" x14ac:dyDescent="0.25">
      <c r="A95" t="s">
        <v>3435</v>
      </c>
      <c r="B95" s="9">
        <v>-300</v>
      </c>
      <c r="C95" s="9">
        <v>300</v>
      </c>
      <c r="D95" s="9" t="s">
        <v>1861</v>
      </c>
      <c r="E95" s="9"/>
      <c r="F95" s="9" t="s">
        <v>3750</v>
      </c>
      <c r="G95" s="9" t="s">
        <v>3849</v>
      </c>
      <c r="H95" s="5" t="s">
        <v>3857</v>
      </c>
      <c r="I95" s="5">
        <v>-1</v>
      </c>
      <c r="J95" s="5" t="s">
        <v>3850</v>
      </c>
      <c r="K95" s="5"/>
      <c r="L95" s="5"/>
      <c r="M95" s="5"/>
      <c r="T95" s="2"/>
    </row>
    <row r="96" spans="1:20" x14ac:dyDescent="0.25">
      <c r="A96" t="s">
        <v>3436</v>
      </c>
      <c r="B96" s="9">
        <v>-300</v>
      </c>
      <c r="C96" s="9">
        <v>300</v>
      </c>
      <c r="D96" s="9" t="s">
        <v>1863</v>
      </c>
      <c r="E96" s="9"/>
      <c r="F96" s="9" t="s">
        <v>3751</v>
      </c>
      <c r="G96" s="9" t="s">
        <v>3849</v>
      </c>
      <c r="H96" s="5"/>
      <c r="I96" s="5">
        <v>0</v>
      </c>
      <c r="J96" s="5" t="s">
        <v>3851</v>
      </c>
      <c r="K96" s="5"/>
      <c r="L96" s="5" t="s">
        <v>1862</v>
      </c>
      <c r="M96" s="5" t="s">
        <v>4512</v>
      </c>
      <c r="T96" s="2"/>
    </row>
    <row r="97" spans="1:20" x14ac:dyDescent="0.25">
      <c r="A97" t="s">
        <v>3437</v>
      </c>
      <c r="B97" s="9">
        <v>-300</v>
      </c>
      <c r="C97" s="9">
        <v>300</v>
      </c>
      <c r="D97" s="9" t="s">
        <v>1863</v>
      </c>
      <c r="E97" s="9"/>
      <c r="F97" s="9" t="s">
        <v>3752</v>
      </c>
      <c r="G97" s="9" t="s">
        <v>3849</v>
      </c>
      <c r="H97" s="5" t="s">
        <v>3857</v>
      </c>
      <c r="I97" s="5">
        <v>2</v>
      </c>
      <c r="J97" s="5" t="s">
        <v>3855</v>
      </c>
      <c r="K97" s="5"/>
      <c r="L97" s="5"/>
      <c r="M97" s="5"/>
      <c r="T97" s="2"/>
    </row>
    <row r="98" spans="1:20" x14ac:dyDescent="0.25">
      <c r="A98" t="s">
        <v>3438</v>
      </c>
      <c r="B98" s="9">
        <v>0</v>
      </c>
      <c r="C98" s="9">
        <v>300</v>
      </c>
      <c r="D98" s="9" t="s">
        <v>1865</v>
      </c>
      <c r="E98" s="9" t="s">
        <v>222</v>
      </c>
      <c r="F98" s="9" t="s">
        <v>3753</v>
      </c>
      <c r="G98" s="9" t="s">
        <v>3849</v>
      </c>
      <c r="H98" s="5"/>
      <c r="I98" s="5">
        <v>4</v>
      </c>
      <c r="J98" s="5" t="s">
        <v>3850</v>
      </c>
      <c r="K98" s="5"/>
      <c r="L98" s="5" t="s">
        <v>1864</v>
      </c>
      <c r="M98" s="5" t="s">
        <v>4518</v>
      </c>
      <c r="T98" s="2"/>
    </row>
    <row r="99" spans="1:20" x14ac:dyDescent="0.25">
      <c r="A99" t="s">
        <v>3439</v>
      </c>
      <c r="B99" s="9">
        <v>-300</v>
      </c>
      <c r="C99" s="9">
        <v>300</v>
      </c>
      <c r="D99" s="9" t="s">
        <v>1867</v>
      </c>
      <c r="E99" s="9"/>
      <c r="F99" s="9" t="s">
        <v>3753</v>
      </c>
      <c r="G99" s="9" t="s">
        <v>3849</v>
      </c>
      <c r="H99" s="5" t="s">
        <v>3857</v>
      </c>
      <c r="I99" s="5">
        <v>-1</v>
      </c>
      <c r="J99" s="5" t="s">
        <v>3850</v>
      </c>
      <c r="K99" s="5"/>
      <c r="L99" s="5" t="s">
        <v>1866</v>
      </c>
      <c r="M99" s="5" t="s">
        <v>4519</v>
      </c>
      <c r="T99" s="2"/>
    </row>
    <row r="100" spans="1:20" x14ac:dyDescent="0.25">
      <c r="A100" t="s">
        <v>3440</v>
      </c>
      <c r="B100" s="9">
        <v>-300</v>
      </c>
      <c r="C100" s="9">
        <v>300</v>
      </c>
      <c r="D100" s="9" t="s">
        <v>1869</v>
      </c>
      <c r="E100" s="9"/>
      <c r="F100" s="9" t="s">
        <v>3754</v>
      </c>
      <c r="G100" s="9" t="s">
        <v>3849</v>
      </c>
      <c r="H100" s="5"/>
      <c r="I100" s="5">
        <v>0</v>
      </c>
      <c r="J100" s="5" t="s">
        <v>3851</v>
      </c>
      <c r="K100" s="5"/>
      <c r="L100" s="5" t="s">
        <v>1868</v>
      </c>
      <c r="M100" s="5" t="s">
        <v>4536</v>
      </c>
      <c r="T100" s="2"/>
    </row>
    <row r="101" spans="1:20" x14ac:dyDescent="0.25">
      <c r="A101" t="s">
        <v>3441</v>
      </c>
      <c r="B101" s="9">
        <v>-300</v>
      </c>
      <c r="C101" s="9">
        <v>300</v>
      </c>
      <c r="D101" s="9" t="s">
        <v>1869</v>
      </c>
      <c r="E101" s="9"/>
      <c r="F101" s="9" t="s">
        <v>3755</v>
      </c>
      <c r="G101" s="9" t="s">
        <v>3849</v>
      </c>
      <c r="H101" s="5" t="s">
        <v>3857</v>
      </c>
      <c r="I101" s="5">
        <v>-1</v>
      </c>
      <c r="J101" s="5" t="s">
        <v>3850</v>
      </c>
      <c r="K101" s="5"/>
      <c r="L101" s="5"/>
      <c r="M101" s="5"/>
      <c r="T101" s="2"/>
    </row>
    <row r="102" spans="1:20" x14ac:dyDescent="0.25">
      <c r="A102" t="s">
        <v>3856</v>
      </c>
      <c r="B102" s="9">
        <v>-300</v>
      </c>
      <c r="C102" s="9">
        <v>300</v>
      </c>
      <c r="D102" s="9" t="s">
        <v>3860</v>
      </c>
      <c r="E102" s="9"/>
      <c r="F102" s="9" t="s">
        <v>3861</v>
      </c>
      <c r="G102" s="9" t="s">
        <v>3849</v>
      </c>
      <c r="H102" s="5"/>
      <c r="I102" s="5">
        <v>0</v>
      </c>
      <c r="J102" s="5" t="s">
        <v>3851</v>
      </c>
      <c r="K102" s="5"/>
      <c r="L102" s="5"/>
      <c r="M102" s="5"/>
      <c r="T102" s="2"/>
    </row>
    <row r="103" spans="1:20" x14ac:dyDescent="0.25">
      <c r="A103" t="s">
        <v>3537</v>
      </c>
      <c r="B103" s="9">
        <v>0</v>
      </c>
      <c r="C103" s="9">
        <v>300</v>
      </c>
      <c r="D103" s="9" t="s">
        <v>3599</v>
      </c>
      <c r="E103" s="9" t="s">
        <v>3599</v>
      </c>
      <c r="F103" s="9" t="s">
        <v>3839</v>
      </c>
      <c r="G103" s="9" t="s">
        <v>3849</v>
      </c>
      <c r="H103" s="5"/>
      <c r="I103" s="5">
        <v>0</v>
      </c>
      <c r="J103" s="5" t="s">
        <v>3852</v>
      </c>
      <c r="K103" s="5"/>
      <c r="L103" s="5" t="s">
        <v>1870</v>
      </c>
      <c r="M103" s="5" t="s">
        <v>4551</v>
      </c>
      <c r="T103" s="2"/>
    </row>
    <row r="104" spans="1:20" x14ac:dyDescent="0.25">
      <c r="A104" t="s">
        <v>3536</v>
      </c>
      <c r="B104" s="9">
        <v>0</v>
      </c>
      <c r="C104" s="9">
        <v>300</v>
      </c>
      <c r="D104" s="9" t="s">
        <v>3598</v>
      </c>
      <c r="E104" s="9" t="s">
        <v>3598</v>
      </c>
      <c r="F104" s="9" t="s">
        <v>3839</v>
      </c>
      <c r="G104" s="9" t="s">
        <v>3849</v>
      </c>
      <c r="H104" s="5"/>
      <c r="I104" s="5">
        <v>0</v>
      </c>
      <c r="J104" s="5" t="s">
        <v>3852</v>
      </c>
      <c r="K104" s="5"/>
      <c r="L104" s="5" t="s">
        <v>1872</v>
      </c>
      <c r="M104" s="5" t="s">
        <v>4552</v>
      </c>
      <c r="T104" s="2"/>
    </row>
    <row r="105" spans="1:20" x14ac:dyDescent="0.25">
      <c r="A105" t="s">
        <v>3545</v>
      </c>
      <c r="B105" s="9">
        <v>0</v>
      </c>
      <c r="C105" s="9">
        <v>300</v>
      </c>
      <c r="D105" s="9" t="s">
        <v>3607</v>
      </c>
      <c r="E105" s="9" t="s">
        <v>3607</v>
      </c>
      <c r="F105" s="9" t="s">
        <v>3839</v>
      </c>
      <c r="G105" s="9" t="s">
        <v>3849</v>
      </c>
      <c r="H105" s="5"/>
      <c r="I105" s="5">
        <v>0</v>
      </c>
      <c r="J105" s="5" t="s">
        <v>3850</v>
      </c>
      <c r="K105" s="5"/>
      <c r="L105" s="5" t="s">
        <v>1874</v>
      </c>
      <c r="M105" s="5" t="s">
        <v>4553</v>
      </c>
      <c r="T105" s="2"/>
    </row>
    <row r="106" spans="1:20" x14ac:dyDescent="0.25">
      <c r="A106" t="s">
        <v>3443</v>
      </c>
      <c r="B106" s="9">
        <v>-300</v>
      </c>
      <c r="C106" s="9">
        <v>300</v>
      </c>
      <c r="D106" s="9" t="s">
        <v>1879</v>
      </c>
      <c r="E106" s="9"/>
      <c r="F106" s="9" t="s">
        <v>3757</v>
      </c>
      <c r="G106" s="9" t="s">
        <v>3849</v>
      </c>
      <c r="H106" s="5"/>
      <c r="I106" s="5">
        <v>-1</v>
      </c>
      <c r="J106" s="5" t="s">
        <v>3850</v>
      </c>
      <c r="K106" s="5"/>
      <c r="L106" s="5" t="s">
        <v>1878</v>
      </c>
      <c r="M106" s="5" t="s">
        <v>4566</v>
      </c>
      <c r="T106" s="2"/>
    </row>
    <row r="107" spans="1:20" x14ac:dyDescent="0.25">
      <c r="A107" t="s">
        <v>3444</v>
      </c>
      <c r="B107" s="9">
        <v>-300</v>
      </c>
      <c r="C107" s="9">
        <v>300</v>
      </c>
      <c r="D107" s="9" t="s">
        <v>1879</v>
      </c>
      <c r="E107" s="9"/>
      <c r="F107" s="9" t="s">
        <v>3758</v>
      </c>
      <c r="G107" s="9" t="s">
        <v>3849</v>
      </c>
      <c r="H107" s="5" t="s">
        <v>3857</v>
      </c>
      <c r="I107" s="5">
        <v>0</v>
      </c>
      <c r="J107" s="5" t="s">
        <v>3850</v>
      </c>
      <c r="K107" s="5"/>
      <c r="L107" s="5"/>
      <c r="M107" s="5"/>
      <c r="T107" s="2"/>
    </row>
    <row r="108" spans="1:20" x14ac:dyDescent="0.25">
      <c r="A108" t="s">
        <v>3445</v>
      </c>
      <c r="B108" s="9">
        <v>0</v>
      </c>
      <c r="C108" s="9">
        <v>300</v>
      </c>
      <c r="D108" s="9" t="s">
        <v>1881</v>
      </c>
      <c r="E108" s="9" t="s">
        <v>222</v>
      </c>
      <c r="F108" s="9" t="s">
        <v>3759</v>
      </c>
      <c r="G108" s="9" t="s">
        <v>3849</v>
      </c>
      <c r="H108" s="5"/>
      <c r="I108" s="5">
        <v>0</v>
      </c>
      <c r="J108" s="5" t="s">
        <v>3852</v>
      </c>
      <c r="K108" s="5"/>
      <c r="L108" s="5" t="s">
        <v>1880</v>
      </c>
      <c r="M108" s="5" t="s">
        <v>4572</v>
      </c>
      <c r="T108" s="2"/>
    </row>
    <row r="109" spans="1:20" x14ac:dyDescent="0.25">
      <c r="A109" t="s">
        <v>3446</v>
      </c>
      <c r="B109" s="9">
        <v>-300</v>
      </c>
      <c r="C109" s="9">
        <v>300</v>
      </c>
      <c r="D109" s="9" t="s">
        <v>1883</v>
      </c>
      <c r="E109" s="9"/>
      <c r="F109" s="9" t="s">
        <v>3759</v>
      </c>
      <c r="G109" s="9" t="s">
        <v>3849</v>
      </c>
      <c r="H109" s="5" t="s">
        <v>3857</v>
      </c>
      <c r="I109" s="5">
        <v>0</v>
      </c>
      <c r="J109" s="5" t="s">
        <v>3852</v>
      </c>
      <c r="K109" s="5"/>
      <c r="L109" s="5" t="s">
        <v>1882</v>
      </c>
      <c r="M109" s="5" t="s">
        <v>4573</v>
      </c>
      <c r="T109" s="2"/>
    </row>
    <row r="110" spans="1:20" x14ac:dyDescent="0.25">
      <c r="A110" t="s">
        <v>3448</v>
      </c>
      <c r="B110" s="9">
        <v>0</v>
      </c>
      <c r="C110" s="9">
        <v>300</v>
      </c>
      <c r="D110" s="9" t="s">
        <v>1889</v>
      </c>
      <c r="E110" s="9" t="s">
        <v>222</v>
      </c>
      <c r="F110" s="9" t="s">
        <v>3761</v>
      </c>
      <c r="G110" s="9" t="s">
        <v>3849</v>
      </c>
      <c r="H110" s="5"/>
      <c r="I110" s="5">
        <v>-1</v>
      </c>
      <c r="J110" s="5" t="s">
        <v>3850</v>
      </c>
      <c r="K110" s="5"/>
      <c r="L110" s="5" t="s">
        <v>1888</v>
      </c>
      <c r="M110" s="5" t="s">
        <v>4596</v>
      </c>
      <c r="T110" s="2"/>
    </row>
    <row r="111" spans="1:20" x14ac:dyDescent="0.25">
      <c r="A111" t="s">
        <v>3449</v>
      </c>
      <c r="B111" s="9">
        <v>-300</v>
      </c>
      <c r="C111" s="9">
        <v>300</v>
      </c>
      <c r="D111" s="9" t="s">
        <v>1891</v>
      </c>
      <c r="E111" s="9"/>
      <c r="F111" s="9" t="s">
        <v>3761</v>
      </c>
      <c r="G111" s="9" t="s">
        <v>3849</v>
      </c>
      <c r="H111" s="5"/>
      <c r="I111" s="5">
        <v>0</v>
      </c>
      <c r="J111" s="5" t="s">
        <v>3851</v>
      </c>
      <c r="K111" s="5"/>
      <c r="L111" s="5" t="s">
        <v>1890</v>
      </c>
      <c r="M111" s="5" t="s">
        <v>4609</v>
      </c>
      <c r="T111" s="2"/>
    </row>
    <row r="112" spans="1:20" x14ac:dyDescent="0.25">
      <c r="A112" t="s">
        <v>3450</v>
      </c>
      <c r="B112" s="9">
        <v>-300</v>
      </c>
      <c r="C112" s="9">
        <v>300</v>
      </c>
      <c r="D112" s="9" t="s">
        <v>1891</v>
      </c>
      <c r="E112" s="9"/>
      <c r="F112" s="9" t="s">
        <v>3762</v>
      </c>
      <c r="G112" s="9" t="s">
        <v>3849</v>
      </c>
      <c r="H112" s="5" t="s">
        <v>3857</v>
      </c>
      <c r="I112" s="5">
        <v>0</v>
      </c>
      <c r="J112" s="5" t="s">
        <v>3850</v>
      </c>
      <c r="K112" s="5"/>
      <c r="L112" s="5"/>
      <c r="M112" s="5"/>
      <c r="T112" s="2"/>
    </row>
    <row r="113" spans="1:20" x14ac:dyDescent="0.25">
      <c r="A113" t="s">
        <v>3452</v>
      </c>
      <c r="B113" s="9">
        <v>0</v>
      </c>
      <c r="C113" s="9">
        <v>300</v>
      </c>
      <c r="D113" s="9" t="s">
        <v>1895</v>
      </c>
      <c r="E113" s="9" t="s">
        <v>222</v>
      </c>
      <c r="F113" s="9" t="s">
        <v>3764</v>
      </c>
      <c r="G113" s="9" t="s">
        <v>3849</v>
      </c>
      <c r="H113" s="5"/>
      <c r="I113" s="5">
        <v>0</v>
      </c>
      <c r="J113" s="5" t="s">
        <v>3850</v>
      </c>
      <c r="K113" s="5"/>
      <c r="L113" s="5" t="s">
        <v>1894</v>
      </c>
      <c r="M113" s="5" t="s">
        <v>4621</v>
      </c>
      <c r="T113" s="2"/>
    </row>
    <row r="114" spans="1:20" x14ac:dyDescent="0.25">
      <c r="A114" t="s">
        <v>3453</v>
      </c>
      <c r="B114" s="9">
        <v>-300</v>
      </c>
      <c r="C114" s="9">
        <v>300</v>
      </c>
      <c r="D114" s="9" t="s">
        <v>1897</v>
      </c>
      <c r="E114" s="9"/>
      <c r="F114" s="9" t="s">
        <v>3764</v>
      </c>
      <c r="G114" s="9" t="s">
        <v>3849</v>
      </c>
      <c r="H114" s="5" t="s">
        <v>3857</v>
      </c>
      <c r="I114" s="5">
        <v>0</v>
      </c>
      <c r="J114" s="5" t="s">
        <v>3854</v>
      </c>
      <c r="K114" s="5"/>
      <c r="L114" s="5" t="s">
        <v>1896</v>
      </c>
      <c r="M114" s="5" t="s">
        <v>4622</v>
      </c>
      <c r="T114" s="2"/>
    </row>
    <row r="115" spans="1:20" x14ac:dyDescent="0.25">
      <c r="A115" t="s">
        <v>3454</v>
      </c>
      <c r="B115" s="9">
        <v>-300</v>
      </c>
      <c r="C115" s="9">
        <v>300</v>
      </c>
      <c r="D115" s="9" t="s">
        <v>1899</v>
      </c>
      <c r="E115" s="9"/>
      <c r="F115" s="9" t="s">
        <v>3765</v>
      </c>
      <c r="G115" s="9" t="s">
        <v>3849</v>
      </c>
      <c r="H115" s="5"/>
      <c r="I115" s="5">
        <v>2</v>
      </c>
      <c r="J115" s="5" t="s">
        <v>3853</v>
      </c>
      <c r="K115" s="5"/>
      <c r="L115" s="5" t="s">
        <v>1898</v>
      </c>
      <c r="M115" s="5" t="s">
        <v>4629</v>
      </c>
      <c r="T115" s="2"/>
    </row>
    <row r="116" spans="1:20" x14ac:dyDescent="0.25">
      <c r="A116" t="s">
        <v>3455</v>
      </c>
      <c r="B116" s="9">
        <v>-300</v>
      </c>
      <c r="C116" s="9">
        <v>300</v>
      </c>
      <c r="D116" s="9" t="s">
        <v>1899</v>
      </c>
      <c r="E116" s="9"/>
      <c r="F116" s="9" t="s">
        <v>3766</v>
      </c>
      <c r="G116" s="9" t="s">
        <v>3849</v>
      </c>
      <c r="H116" s="5" t="s">
        <v>3857</v>
      </c>
      <c r="I116" s="5">
        <v>-2</v>
      </c>
      <c r="J116" s="5" t="s">
        <v>3850</v>
      </c>
      <c r="K116" s="5"/>
      <c r="L116" s="5"/>
      <c r="M116" s="5"/>
      <c r="T116" s="2"/>
    </row>
    <row r="117" spans="1:20" x14ac:dyDescent="0.25">
      <c r="A117" t="s">
        <v>3456</v>
      </c>
      <c r="B117" s="9">
        <v>0</v>
      </c>
      <c r="C117" s="9">
        <v>300</v>
      </c>
      <c r="D117" s="9" t="s">
        <v>1901</v>
      </c>
      <c r="E117" s="9" t="s">
        <v>222</v>
      </c>
      <c r="F117" s="9" t="s">
        <v>3767</v>
      </c>
      <c r="G117" s="9" t="s">
        <v>3849</v>
      </c>
      <c r="H117" s="5"/>
      <c r="I117" s="5">
        <v>0</v>
      </c>
      <c r="J117" s="5" t="s">
        <v>3851</v>
      </c>
      <c r="K117" s="5"/>
      <c r="L117" s="5" t="s">
        <v>1900</v>
      </c>
      <c r="M117" s="5" t="s">
        <v>4637</v>
      </c>
      <c r="T117" s="2"/>
    </row>
    <row r="118" spans="1:20" x14ac:dyDescent="0.25">
      <c r="A118" t="s">
        <v>3457</v>
      </c>
      <c r="B118" s="9">
        <v>-300</v>
      </c>
      <c r="C118" s="9">
        <v>300</v>
      </c>
      <c r="D118" s="9" t="s">
        <v>1903</v>
      </c>
      <c r="E118" s="9"/>
      <c r="F118" s="9" t="s">
        <v>3767</v>
      </c>
      <c r="G118" s="9" t="s">
        <v>3849</v>
      </c>
      <c r="H118" s="5"/>
      <c r="I118" s="5">
        <v>0</v>
      </c>
      <c r="J118" s="5" t="s">
        <v>3854</v>
      </c>
      <c r="K118" s="5"/>
      <c r="L118" s="5" t="s">
        <v>1902</v>
      </c>
      <c r="M118" s="5" t="s">
        <v>4640</v>
      </c>
      <c r="T118" s="2"/>
    </row>
    <row r="119" spans="1:20" x14ac:dyDescent="0.25">
      <c r="A119" t="s">
        <v>3458</v>
      </c>
      <c r="B119" s="9">
        <v>-300</v>
      </c>
      <c r="C119" s="9">
        <v>300</v>
      </c>
      <c r="D119" s="9" t="s">
        <v>1903</v>
      </c>
      <c r="E119" s="9"/>
      <c r="F119" s="9" t="s">
        <v>3768</v>
      </c>
      <c r="G119" s="9" t="s">
        <v>3849</v>
      </c>
      <c r="H119" s="5" t="s">
        <v>3857</v>
      </c>
      <c r="I119" s="5">
        <v>2</v>
      </c>
      <c r="J119" s="5" t="s">
        <v>3853</v>
      </c>
      <c r="K119" s="5"/>
      <c r="L119" s="5"/>
      <c r="M119" s="5"/>
      <c r="T119" s="2"/>
    </row>
    <row r="120" spans="1:20" x14ac:dyDescent="0.25">
      <c r="A120" t="s">
        <v>3320</v>
      </c>
      <c r="B120" s="9">
        <v>0</v>
      </c>
      <c r="C120" s="9">
        <v>300</v>
      </c>
      <c r="D120" s="9" t="s">
        <v>1905</v>
      </c>
      <c r="E120" s="9"/>
      <c r="F120" s="9" t="s">
        <v>3644</v>
      </c>
      <c r="G120" s="9" t="s">
        <v>3849</v>
      </c>
      <c r="H120" s="5"/>
      <c r="I120" s="5">
        <v>0</v>
      </c>
      <c r="J120" s="5" t="s">
        <v>3850</v>
      </c>
      <c r="K120" s="5"/>
      <c r="L120" s="5" t="s">
        <v>1904</v>
      </c>
      <c r="M120" s="5" t="s">
        <v>4646</v>
      </c>
      <c r="T120" s="2"/>
    </row>
    <row r="121" spans="1:20" x14ac:dyDescent="0.25">
      <c r="A121" t="s">
        <v>3321</v>
      </c>
      <c r="B121" s="9">
        <v>-300</v>
      </c>
      <c r="C121" s="9">
        <v>300</v>
      </c>
      <c r="D121" s="9" t="s">
        <v>1905</v>
      </c>
      <c r="E121" s="9"/>
      <c r="F121" s="9" t="s">
        <v>3645</v>
      </c>
      <c r="G121" s="9" t="s">
        <v>3849</v>
      </c>
      <c r="H121" s="5" t="s">
        <v>3857</v>
      </c>
      <c r="I121" s="5">
        <v>-1</v>
      </c>
      <c r="J121" s="5" t="s">
        <v>3850</v>
      </c>
      <c r="K121" s="5"/>
      <c r="L121" s="5"/>
      <c r="M121" s="5"/>
      <c r="T121" s="2"/>
    </row>
    <row r="122" spans="1:20" x14ac:dyDescent="0.25">
      <c r="A122" t="s">
        <v>3466</v>
      </c>
      <c r="B122" s="9">
        <v>0</v>
      </c>
      <c r="C122" s="9">
        <v>300</v>
      </c>
      <c r="D122" s="9" t="s">
        <v>3591</v>
      </c>
      <c r="E122" s="9"/>
      <c r="F122" s="9" t="s">
        <v>3775</v>
      </c>
      <c r="G122" s="9" t="s">
        <v>3849</v>
      </c>
      <c r="H122" s="5" t="s">
        <v>3857</v>
      </c>
      <c r="I122" s="5">
        <v>0</v>
      </c>
      <c r="J122" s="5" t="s">
        <v>3851</v>
      </c>
      <c r="K122" s="5"/>
      <c r="L122" s="5" t="s">
        <v>1918</v>
      </c>
      <c r="M122" s="5" t="s">
        <v>4659</v>
      </c>
      <c r="T122" s="2"/>
    </row>
    <row r="123" spans="1:20" x14ac:dyDescent="0.25">
      <c r="A123" t="s">
        <v>3465</v>
      </c>
      <c r="B123" s="9">
        <v>-300</v>
      </c>
      <c r="C123" s="9">
        <v>300</v>
      </c>
      <c r="D123" s="9" t="s">
        <v>3591</v>
      </c>
      <c r="E123" s="9"/>
      <c r="F123" s="9" t="s">
        <v>3774</v>
      </c>
      <c r="G123" s="9" t="s">
        <v>3849</v>
      </c>
      <c r="H123" s="5"/>
      <c r="I123" s="5">
        <v>-2</v>
      </c>
      <c r="J123" s="5" t="s">
        <v>3850</v>
      </c>
      <c r="K123" s="5"/>
      <c r="L123" s="5"/>
      <c r="M123" s="5"/>
      <c r="T123" s="2"/>
    </row>
    <row r="124" spans="1:20" x14ac:dyDescent="0.25">
      <c r="A124" t="s">
        <v>3467</v>
      </c>
      <c r="B124" s="9">
        <v>0</v>
      </c>
      <c r="C124" s="9">
        <v>300</v>
      </c>
      <c r="D124" s="9" t="s">
        <v>3592</v>
      </c>
      <c r="E124" s="9" t="s">
        <v>3624</v>
      </c>
      <c r="F124" s="9" t="s">
        <v>3776</v>
      </c>
      <c r="G124" s="9" t="s">
        <v>3849</v>
      </c>
      <c r="H124" s="5"/>
      <c r="I124" s="5">
        <v>0</v>
      </c>
      <c r="J124" s="5" t="s">
        <v>3851</v>
      </c>
      <c r="K124" s="5"/>
      <c r="L124" s="5" t="s">
        <v>1920</v>
      </c>
      <c r="M124" s="5" t="s">
        <v>4662</v>
      </c>
      <c r="T124" s="3"/>
    </row>
    <row r="125" spans="1:20" x14ac:dyDescent="0.25">
      <c r="A125" t="s">
        <v>3472</v>
      </c>
      <c r="B125" s="9">
        <v>-300</v>
      </c>
      <c r="C125" s="9">
        <v>300</v>
      </c>
      <c r="D125" s="9" t="s">
        <v>1931</v>
      </c>
      <c r="E125" s="9"/>
      <c r="F125" s="9" t="s">
        <v>3781</v>
      </c>
      <c r="G125" s="9" t="s">
        <v>3849</v>
      </c>
      <c r="H125" s="5"/>
      <c r="I125" s="5">
        <v>0</v>
      </c>
      <c r="J125" s="5" t="s">
        <v>3850</v>
      </c>
      <c r="K125" s="5"/>
      <c r="L125" s="5" t="s">
        <v>1930</v>
      </c>
      <c r="M125" s="5" t="s">
        <v>4729</v>
      </c>
      <c r="T125" s="2"/>
    </row>
    <row r="126" spans="1:20" x14ac:dyDescent="0.25">
      <c r="A126" t="s">
        <v>3473</v>
      </c>
      <c r="B126" s="9">
        <v>-300</v>
      </c>
      <c r="C126" s="9">
        <v>300</v>
      </c>
      <c r="D126" s="9" t="s">
        <v>1931</v>
      </c>
      <c r="E126" s="9"/>
      <c r="F126" s="9" t="s">
        <v>3782</v>
      </c>
      <c r="G126" s="9" t="s">
        <v>3849</v>
      </c>
      <c r="H126" s="5" t="s">
        <v>3857</v>
      </c>
      <c r="I126" s="5">
        <v>-1</v>
      </c>
      <c r="J126" s="5" t="s">
        <v>3850</v>
      </c>
      <c r="K126" s="5"/>
      <c r="L126" s="5"/>
      <c r="M126" s="5"/>
      <c r="T126" s="2"/>
    </row>
    <row r="127" spans="1:20" x14ac:dyDescent="0.25">
      <c r="A127" t="s">
        <v>3544</v>
      </c>
      <c r="B127" s="9">
        <v>0</v>
      </c>
      <c r="C127" s="9">
        <v>300</v>
      </c>
      <c r="D127" s="9" t="s">
        <v>3606</v>
      </c>
      <c r="E127" s="9" t="s">
        <v>3632</v>
      </c>
      <c r="F127" s="9" t="s">
        <v>3842</v>
      </c>
      <c r="G127" s="9" t="s">
        <v>3849</v>
      </c>
      <c r="H127" s="5"/>
      <c r="I127" s="5">
        <v>0</v>
      </c>
      <c r="J127" s="5" t="s">
        <v>3851</v>
      </c>
      <c r="K127" s="5"/>
      <c r="L127" s="5" t="s">
        <v>1932</v>
      </c>
      <c r="M127" s="5" t="s">
        <v>4736</v>
      </c>
      <c r="T127" s="2"/>
    </row>
    <row r="128" spans="1:20" x14ac:dyDescent="0.25">
      <c r="A128" t="s">
        <v>3543</v>
      </c>
      <c r="B128" s="9">
        <v>0</v>
      </c>
      <c r="C128" s="9">
        <v>300</v>
      </c>
      <c r="D128" s="9" t="s">
        <v>3605</v>
      </c>
      <c r="E128" s="9" t="s">
        <v>3631</v>
      </c>
      <c r="F128" s="9" t="s">
        <v>3842</v>
      </c>
      <c r="G128" s="9" t="s">
        <v>3849</v>
      </c>
      <c r="H128" s="5"/>
      <c r="I128" s="5">
        <v>0</v>
      </c>
      <c r="J128" s="5" t="s">
        <v>3850</v>
      </c>
      <c r="K128" s="5"/>
      <c r="L128" s="5" t="s">
        <v>1933</v>
      </c>
      <c r="M128" s="5" t="s">
        <v>4737</v>
      </c>
      <c r="T128" s="3"/>
    </row>
    <row r="129" spans="1:20" x14ac:dyDescent="0.25">
      <c r="A129" t="s">
        <v>3546</v>
      </c>
      <c r="B129" s="9">
        <v>0</v>
      </c>
      <c r="C129" s="9">
        <v>300</v>
      </c>
      <c r="D129" s="9" t="s">
        <v>3608</v>
      </c>
      <c r="E129" s="9" t="s">
        <v>3633</v>
      </c>
      <c r="F129" s="9" t="s">
        <v>3842</v>
      </c>
      <c r="G129" s="9" t="s">
        <v>3849</v>
      </c>
      <c r="H129" s="5"/>
      <c r="I129" s="5">
        <v>1</v>
      </c>
      <c r="J129" s="5" t="s">
        <v>3850</v>
      </c>
      <c r="K129" s="5"/>
      <c r="L129" s="5" t="s">
        <v>1934</v>
      </c>
      <c r="M129" s="5" t="s">
        <v>4738</v>
      </c>
      <c r="T129" s="2"/>
    </row>
    <row r="130" spans="1:20" x14ac:dyDescent="0.25">
      <c r="A130" t="s">
        <v>3474</v>
      </c>
      <c r="B130" s="9">
        <v>-300</v>
      </c>
      <c r="C130" s="9">
        <v>300</v>
      </c>
      <c r="D130" s="9" t="s">
        <v>1938</v>
      </c>
      <c r="E130" s="9"/>
      <c r="F130" s="9" t="s">
        <v>3783</v>
      </c>
      <c r="G130" s="9" t="s">
        <v>3849</v>
      </c>
      <c r="H130" s="5"/>
      <c r="I130" s="5">
        <v>0</v>
      </c>
      <c r="J130" s="5" t="s">
        <v>3852</v>
      </c>
      <c r="K130" s="5"/>
      <c r="L130" s="5" t="s">
        <v>1937</v>
      </c>
      <c r="M130" s="5" t="s">
        <v>4747</v>
      </c>
      <c r="T130" s="2"/>
    </row>
    <row r="131" spans="1:20" x14ac:dyDescent="0.25">
      <c r="A131" t="s">
        <v>3475</v>
      </c>
      <c r="B131" s="9">
        <v>-300</v>
      </c>
      <c r="C131" s="9">
        <v>300</v>
      </c>
      <c r="D131" s="9" t="s">
        <v>1938</v>
      </c>
      <c r="E131" s="9"/>
      <c r="F131" s="9" t="s">
        <v>3784</v>
      </c>
      <c r="G131" s="9" t="s">
        <v>3849</v>
      </c>
      <c r="H131" s="5" t="s">
        <v>3857</v>
      </c>
      <c r="I131" s="5">
        <v>-1</v>
      </c>
      <c r="J131" s="5" t="s">
        <v>3850</v>
      </c>
      <c r="K131" s="5"/>
      <c r="L131" s="5"/>
      <c r="M131" s="5"/>
      <c r="T131" s="2"/>
    </row>
    <row r="132" spans="1:20" x14ac:dyDescent="0.25">
      <c r="A132" t="s">
        <v>3322</v>
      </c>
      <c r="B132" s="9">
        <v>-300</v>
      </c>
      <c r="C132" s="9">
        <v>300</v>
      </c>
      <c r="D132" s="9" t="s">
        <v>1936</v>
      </c>
      <c r="E132" s="9"/>
      <c r="F132" s="9" t="s">
        <v>3646</v>
      </c>
      <c r="G132" s="9" t="s">
        <v>3849</v>
      </c>
      <c r="H132" s="5"/>
      <c r="I132" s="5">
        <v>0</v>
      </c>
      <c r="J132" s="5" t="s">
        <v>3851</v>
      </c>
      <c r="K132" s="5"/>
      <c r="L132" s="5" t="s">
        <v>1935</v>
      </c>
      <c r="M132" s="5" t="s">
        <v>4746</v>
      </c>
      <c r="T132" s="2"/>
    </row>
    <row r="133" spans="1:20" x14ac:dyDescent="0.25">
      <c r="A133" t="s">
        <v>3323</v>
      </c>
      <c r="B133" s="9">
        <v>-300</v>
      </c>
      <c r="C133" s="9">
        <v>300</v>
      </c>
      <c r="D133" s="9" t="s">
        <v>1936</v>
      </c>
      <c r="E133" s="9"/>
      <c r="F133" s="9" t="s">
        <v>3647</v>
      </c>
      <c r="G133" s="9" t="s">
        <v>3849</v>
      </c>
      <c r="H133" s="5" t="s">
        <v>3857</v>
      </c>
      <c r="I133" s="5">
        <v>0</v>
      </c>
      <c r="J133" s="5" t="s">
        <v>3850</v>
      </c>
      <c r="K133" s="5"/>
      <c r="L133" s="5"/>
      <c r="M133" s="5"/>
      <c r="T133" s="2"/>
    </row>
    <row r="134" spans="1:20" x14ac:dyDescent="0.25">
      <c r="A134" t="s">
        <v>3476</v>
      </c>
      <c r="B134" s="9">
        <v>-300</v>
      </c>
      <c r="C134" s="9">
        <v>300</v>
      </c>
      <c r="D134" s="9" t="s">
        <v>1940</v>
      </c>
      <c r="E134" s="9"/>
      <c r="F134" s="9" t="s">
        <v>3785</v>
      </c>
      <c r="G134" s="9" t="s">
        <v>3849</v>
      </c>
      <c r="H134" s="5"/>
      <c r="I134" s="5">
        <v>-2</v>
      </c>
      <c r="J134" s="5" t="s">
        <v>3850</v>
      </c>
      <c r="K134" s="5"/>
      <c r="L134" s="5" t="s">
        <v>1939</v>
      </c>
      <c r="M134" s="5" t="s">
        <v>4759</v>
      </c>
      <c r="T134" s="3"/>
    </row>
    <row r="135" spans="1:20" x14ac:dyDescent="0.25">
      <c r="A135" t="s">
        <v>3477</v>
      </c>
      <c r="B135" s="9">
        <v>-300</v>
      </c>
      <c r="C135" s="9">
        <v>300</v>
      </c>
      <c r="D135" s="9" t="s">
        <v>1940</v>
      </c>
      <c r="E135" s="9"/>
      <c r="F135" s="9" t="s">
        <v>3786</v>
      </c>
      <c r="G135" s="9" t="s">
        <v>3849</v>
      </c>
      <c r="H135" s="5" t="s">
        <v>3857</v>
      </c>
      <c r="I135" s="5">
        <v>0</v>
      </c>
      <c r="J135" s="5" t="s">
        <v>3851</v>
      </c>
      <c r="K135" s="5"/>
      <c r="L135" s="5"/>
      <c r="M135" s="5"/>
      <c r="T135" s="3"/>
    </row>
    <row r="136" spans="1:20" x14ac:dyDescent="0.25">
      <c r="A136" t="s">
        <v>3478</v>
      </c>
      <c r="B136" s="9">
        <v>0</v>
      </c>
      <c r="C136" s="9">
        <v>300</v>
      </c>
      <c r="D136" s="9" t="s">
        <v>1942</v>
      </c>
      <c r="E136" s="9"/>
      <c r="F136" s="9" t="s">
        <v>3787</v>
      </c>
      <c r="G136" s="9" t="s">
        <v>3849</v>
      </c>
      <c r="H136" s="5"/>
      <c r="I136" s="5">
        <v>0</v>
      </c>
      <c r="J136" s="5" t="s">
        <v>3850</v>
      </c>
      <c r="K136" s="5"/>
      <c r="L136" s="5" t="s">
        <v>1941</v>
      </c>
      <c r="M136" s="5" t="s">
        <v>4766</v>
      </c>
      <c r="T136" s="2"/>
    </row>
    <row r="137" spans="1:20" x14ac:dyDescent="0.25">
      <c r="A137" t="s">
        <v>3479</v>
      </c>
      <c r="B137" s="9">
        <v>0</v>
      </c>
      <c r="C137" s="9">
        <v>300</v>
      </c>
      <c r="D137" s="9" t="s">
        <v>1942</v>
      </c>
      <c r="E137" s="9"/>
      <c r="F137" s="9" t="s">
        <v>3788</v>
      </c>
      <c r="G137" s="9" t="s">
        <v>3849</v>
      </c>
      <c r="H137" s="5" t="s">
        <v>3857</v>
      </c>
      <c r="I137" s="5">
        <v>-1</v>
      </c>
      <c r="J137" s="5" t="s">
        <v>3850</v>
      </c>
      <c r="K137" s="5"/>
      <c r="L137" s="5"/>
      <c r="M137" s="5"/>
      <c r="T137" s="2"/>
    </row>
    <row r="138" spans="1:20" x14ac:dyDescent="0.25">
      <c r="A138" t="s">
        <v>3551</v>
      </c>
      <c r="B138" s="9">
        <v>0</v>
      </c>
      <c r="C138" s="9">
        <v>300</v>
      </c>
      <c r="D138" s="9" t="s">
        <v>3611</v>
      </c>
      <c r="E138" s="9" t="s">
        <v>3634</v>
      </c>
      <c r="F138" s="9" t="s">
        <v>3846</v>
      </c>
      <c r="G138" s="9" t="s">
        <v>3849</v>
      </c>
      <c r="H138" s="5"/>
      <c r="I138" s="5">
        <v>0</v>
      </c>
      <c r="J138" s="5" t="s">
        <v>3851</v>
      </c>
      <c r="K138" s="5"/>
      <c r="L138" s="5" t="s">
        <v>1943</v>
      </c>
      <c r="M138" s="5" t="s">
        <v>4767</v>
      </c>
      <c r="T138" s="3"/>
    </row>
    <row r="139" spans="1:20" x14ac:dyDescent="0.25">
      <c r="A139" t="s">
        <v>3550</v>
      </c>
      <c r="B139" s="9">
        <v>0</v>
      </c>
      <c r="C139" s="9">
        <v>300</v>
      </c>
      <c r="D139" s="9" t="s">
        <v>3611</v>
      </c>
      <c r="E139" s="9" t="s">
        <v>3634</v>
      </c>
      <c r="F139" s="9" t="s">
        <v>3845</v>
      </c>
      <c r="G139" s="9" t="s">
        <v>3849</v>
      </c>
      <c r="H139" s="5"/>
      <c r="I139" s="5">
        <v>-1</v>
      </c>
      <c r="J139" s="5" t="s">
        <v>3850</v>
      </c>
      <c r="K139" s="5"/>
      <c r="L139" s="5"/>
      <c r="M139" s="5"/>
      <c r="T139" s="2"/>
    </row>
    <row r="140" spans="1:20" x14ac:dyDescent="0.25">
      <c r="A140" t="s">
        <v>3540</v>
      </c>
      <c r="B140" s="9">
        <v>0</v>
      </c>
      <c r="C140" s="9">
        <v>300</v>
      </c>
      <c r="D140" s="9" t="s">
        <v>3602</v>
      </c>
      <c r="E140" s="9" t="s">
        <v>1948</v>
      </c>
      <c r="F140" s="9" t="s">
        <v>3840</v>
      </c>
      <c r="G140" s="9" t="s">
        <v>3849</v>
      </c>
      <c r="H140" s="5"/>
      <c r="I140" s="5">
        <v>-1</v>
      </c>
      <c r="J140" s="5" t="s">
        <v>3853</v>
      </c>
      <c r="K140" s="5"/>
      <c r="L140" s="5" t="s">
        <v>1947</v>
      </c>
      <c r="M140" s="5" t="s">
        <v>4776</v>
      </c>
      <c r="T140" s="2"/>
    </row>
    <row r="141" spans="1:20" x14ac:dyDescent="0.25">
      <c r="A141" t="s">
        <v>3538</v>
      </c>
      <c r="B141" s="9">
        <v>0</v>
      </c>
      <c r="C141" s="9">
        <v>300</v>
      </c>
      <c r="D141" s="9" t="s">
        <v>3600</v>
      </c>
      <c r="E141" s="9" t="s">
        <v>3600</v>
      </c>
      <c r="F141" s="9" t="s">
        <v>3840</v>
      </c>
      <c r="G141" s="9" t="s">
        <v>3849</v>
      </c>
      <c r="H141" s="5"/>
      <c r="I141" s="5">
        <v>0</v>
      </c>
      <c r="J141" s="5" t="s">
        <v>3854</v>
      </c>
      <c r="K141" s="5"/>
      <c r="L141" s="5" t="s">
        <v>1949</v>
      </c>
      <c r="M141" s="5" t="s">
        <v>4777</v>
      </c>
      <c r="T141" s="2"/>
    </row>
    <row r="142" spans="1:20" x14ac:dyDescent="0.25">
      <c r="A142" t="s">
        <v>3481</v>
      </c>
      <c r="B142" s="9">
        <v>0</v>
      </c>
      <c r="C142" s="9">
        <v>300</v>
      </c>
      <c r="D142" s="9" t="s">
        <v>3594</v>
      </c>
      <c r="E142" s="9"/>
      <c r="F142" s="9" t="s">
        <v>3790</v>
      </c>
      <c r="G142" s="9" t="s">
        <v>3849</v>
      </c>
      <c r="H142" s="5"/>
      <c r="I142" s="5">
        <v>-1</v>
      </c>
      <c r="J142" s="5" t="s">
        <v>3850</v>
      </c>
      <c r="K142" s="5"/>
      <c r="L142" s="5" t="s">
        <v>1951</v>
      </c>
      <c r="M142" s="5" t="s">
        <v>4778</v>
      </c>
      <c r="T142" s="2"/>
    </row>
    <row r="143" spans="1:20" x14ac:dyDescent="0.25">
      <c r="A143" t="s">
        <v>3482</v>
      </c>
      <c r="B143" s="9">
        <v>-300</v>
      </c>
      <c r="C143" s="9">
        <v>300</v>
      </c>
      <c r="D143" s="9" t="s">
        <v>3594</v>
      </c>
      <c r="E143" s="9"/>
      <c r="F143" s="9" t="s">
        <v>3791</v>
      </c>
      <c r="G143" s="9" t="s">
        <v>3849</v>
      </c>
      <c r="H143" s="5" t="s">
        <v>3857</v>
      </c>
      <c r="I143" s="5">
        <v>0</v>
      </c>
      <c r="J143" s="5" t="s">
        <v>3851</v>
      </c>
      <c r="K143" s="5"/>
      <c r="L143" s="5"/>
      <c r="M143" s="5"/>
      <c r="T143" s="2"/>
    </row>
    <row r="144" spans="1:20" x14ac:dyDescent="0.25">
      <c r="A144" t="s">
        <v>3483</v>
      </c>
      <c r="B144" s="9">
        <v>-300</v>
      </c>
      <c r="C144" s="9">
        <v>300</v>
      </c>
      <c r="D144" s="9" t="s">
        <v>1954</v>
      </c>
      <c r="E144" s="9"/>
      <c r="F144" s="9" t="s">
        <v>3792</v>
      </c>
      <c r="G144" s="9" t="s">
        <v>3849</v>
      </c>
      <c r="H144" s="5" t="s">
        <v>3857</v>
      </c>
      <c r="I144" s="5">
        <v>0</v>
      </c>
      <c r="J144" s="5" t="s">
        <v>3853</v>
      </c>
      <c r="K144" s="5"/>
      <c r="L144" s="5" t="s">
        <v>1953</v>
      </c>
      <c r="M144" s="5" t="s">
        <v>4804</v>
      </c>
      <c r="T144" s="2"/>
    </row>
    <row r="145" spans="1:20" x14ac:dyDescent="0.25">
      <c r="A145" t="s">
        <v>3484</v>
      </c>
      <c r="B145" s="9">
        <v>-300</v>
      </c>
      <c r="C145" s="9">
        <v>300</v>
      </c>
      <c r="D145" s="9" t="s">
        <v>1956</v>
      </c>
      <c r="E145" s="9"/>
      <c r="F145" s="9" t="s">
        <v>3793</v>
      </c>
      <c r="G145" s="9" t="s">
        <v>3849</v>
      </c>
      <c r="H145" s="5"/>
      <c r="I145" s="5">
        <v>0</v>
      </c>
      <c r="J145" s="5" t="s">
        <v>3850</v>
      </c>
      <c r="K145" s="5"/>
      <c r="L145" s="5" t="s">
        <v>1955</v>
      </c>
      <c r="M145" s="5" t="s">
        <v>4808</v>
      </c>
      <c r="T145" s="2"/>
    </row>
    <row r="146" spans="1:20" x14ac:dyDescent="0.25">
      <c r="A146" t="s">
        <v>3485</v>
      </c>
      <c r="B146" s="9">
        <v>-300</v>
      </c>
      <c r="C146" s="9">
        <v>300</v>
      </c>
      <c r="D146" s="9" t="s">
        <v>1956</v>
      </c>
      <c r="E146" s="9"/>
      <c r="F146" s="9" t="s">
        <v>3794</v>
      </c>
      <c r="G146" s="9" t="s">
        <v>3849</v>
      </c>
      <c r="H146" s="5" t="s">
        <v>3857</v>
      </c>
      <c r="I146" s="5">
        <v>0</v>
      </c>
      <c r="J146" s="5" t="s">
        <v>3850</v>
      </c>
      <c r="K146" s="5"/>
      <c r="L146" s="5"/>
      <c r="M146" s="5"/>
      <c r="T146" s="2"/>
    </row>
    <row r="147" spans="1:20" x14ac:dyDescent="0.25">
      <c r="A147" t="s">
        <v>3486</v>
      </c>
      <c r="B147" s="9">
        <v>0</v>
      </c>
      <c r="C147" s="9">
        <v>300</v>
      </c>
      <c r="D147" s="9" t="s">
        <v>1958</v>
      </c>
      <c r="E147" s="9" t="s">
        <v>222</v>
      </c>
      <c r="F147" s="9" t="s">
        <v>3795</v>
      </c>
      <c r="G147" s="9" t="s">
        <v>3849</v>
      </c>
      <c r="H147" s="5"/>
      <c r="I147" s="5">
        <v>-2</v>
      </c>
      <c r="J147" s="5" t="s">
        <v>3850</v>
      </c>
      <c r="K147" s="5"/>
      <c r="L147" s="5" t="s">
        <v>1957</v>
      </c>
      <c r="M147" s="5" t="s">
        <v>4823</v>
      </c>
      <c r="T147" s="2"/>
    </row>
    <row r="148" spans="1:20" x14ac:dyDescent="0.25">
      <c r="A148" t="s">
        <v>3488</v>
      </c>
      <c r="B148" s="9">
        <v>-300</v>
      </c>
      <c r="C148" s="9">
        <v>300</v>
      </c>
      <c r="D148" s="9" t="s">
        <v>1964</v>
      </c>
      <c r="E148" s="9"/>
      <c r="F148" s="9" t="s">
        <v>3797</v>
      </c>
      <c r="G148" s="9" t="s">
        <v>3849</v>
      </c>
      <c r="H148" s="5"/>
      <c r="I148" s="5">
        <v>0</v>
      </c>
      <c r="J148" s="5" t="s">
        <v>3853</v>
      </c>
      <c r="K148" s="5"/>
      <c r="L148" s="5" t="s">
        <v>1963</v>
      </c>
      <c r="M148" s="5" t="s">
        <v>4887</v>
      </c>
      <c r="T148" s="2"/>
    </row>
    <row r="149" spans="1:20" x14ac:dyDescent="0.25">
      <c r="A149" t="s">
        <v>3489</v>
      </c>
      <c r="B149" s="9">
        <v>-300</v>
      </c>
      <c r="C149" s="9">
        <v>300</v>
      </c>
      <c r="D149" s="9" t="s">
        <v>1964</v>
      </c>
      <c r="E149" s="9"/>
      <c r="F149" s="9" t="s">
        <v>3798</v>
      </c>
      <c r="G149" s="9" t="s">
        <v>3849</v>
      </c>
      <c r="H149" s="5" t="s">
        <v>3857</v>
      </c>
      <c r="I149" s="5">
        <v>-1</v>
      </c>
      <c r="J149" s="5" t="s">
        <v>3850</v>
      </c>
      <c r="K149" s="5"/>
      <c r="L149" s="5"/>
      <c r="M149" s="5"/>
      <c r="T149" s="2"/>
    </row>
    <row r="150" spans="1:20" x14ac:dyDescent="0.25">
      <c r="A150" t="s">
        <v>3557</v>
      </c>
      <c r="B150" s="9">
        <v>0</v>
      </c>
      <c r="C150" s="9">
        <v>300</v>
      </c>
      <c r="D150" s="9" t="s">
        <v>1962</v>
      </c>
      <c r="E150" s="9" t="s">
        <v>3635</v>
      </c>
      <c r="F150" s="9" t="s">
        <v>3797</v>
      </c>
      <c r="G150" s="9" t="s">
        <v>3849</v>
      </c>
      <c r="H150" s="5"/>
      <c r="I150" s="5">
        <v>0</v>
      </c>
      <c r="J150" s="5" t="s">
        <v>3851</v>
      </c>
      <c r="K150" s="5"/>
      <c r="L150" s="5" t="s">
        <v>1961</v>
      </c>
      <c r="M150" s="5" t="s">
        <v>4886</v>
      </c>
      <c r="T150" s="2"/>
    </row>
    <row r="151" spans="1:20" x14ac:dyDescent="0.25">
      <c r="A151" t="s">
        <v>3491</v>
      </c>
      <c r="B151" s="9">
        <v>-300</v>
      </c>
      <c r="C151" s="9">
        <v>300</v>
      </c>
      <c r="D151" s="9" t="s">
        <v>1968</v>
      </c>
      <c r="E151" s="9"/>
      <c r="F151" s="9" t="s">
        <v>3800</v>
      </c>
      <c r="G151" s="9" t="s">
        <v>3849</v>
      </c>
      <c r="H151" s="5"/>
      <c r="I151" s="5">
        <v>0</v>
      </c>
      <c r="J151" s="5" t="s">
        <v>3850</v>
      </c>
      <c r="K151" s="5"/>
      <c r="L151" s="5" t="s">
        <v>1967</v>
      </c>
      <c r="M151" s="5" t="s">
        <v>4926</v>
      </c>
      <c r="T151" s="2"/>
    </row>
    <row r="152" spans="1:20" x14ac:dyDescent="0.25">
      <c r="A152" t="s">
        <v>3492</v>
      </c>
      <c r="B152" s="9">
        <v>-300</v>
      </c>
      <c r="C152" s="9">
        <v>300</v>
      </c>
      <c r="D152" s="9" t="s">
        <v>1968</v>
      </c>
      <c r="E152" s="9"/>
      <c r="F152" s="9" t="s">
        <v>3801</v>
      </c>
      <c r="G152" s="9" t="s">
        <v>3849</v>
      </c>
      <c r="H152" s="5" t="s">
        <v>3857</v>
      </c>
      <c r="I152" s="5">
        <v>0</v>
      </c>
      <c r="J152" s="5" t="s">
        <v>3850</v>
      </c>
      <c r="K152" s="5"/>
      <c r="L152" s="5"/>
      <c r="M152" s="5"/>
      <c r="T152" s="2"/>
    </row>
    <row r="153" spans="1:20" x14ac:dyDescent="0.25">
      <c r="A153" t="s">
        <v>3493</v>
      </c>
      <c r="B153" s="9">
        <v>0</v>
      </c>
      <c r="C153" s="9">
        <v>300</v>
      </c>
      <c r="D153" s="9" t="s">
        <v>1970</v>
      </c>
      <c r="E153" s="9" t="s">
        <v>222</v>
      </c>
      <c r="F153" s="9" t="s">
        <v>3802</v>
      </c>
      <c r="G153" s="9" t="s">
        <v>3849</v>
      </c>
      <c r="H153" s="5"/>
      <c r="I153" s="5">
        <v>-1</v>
      </c>
      <c r="J153" s="5" t="s">
        <v>3850</v>
      </c>
      <c r="K153" s="5"/>
      <c r="L153" s="5" t="s">
        <v>1969</v>
      </c>
      <c r="M153" s="5" t="s">
        <v>4946</v>
      </c>
      <c r="T153" s="2"/>
    </row>
    <row r="154" spans="1:20" x14ac:dyDescent="0.25">
      <c r="A154" t="s">
        <v>3494</v>
      </c>
      <c r="B154" s="9">
        <v>-300</v>
      </c>
      <c r="C154" s="9">
        <v>300</v>
      </c>
      <c r="D154" s="9" t="s">
        <v>1972</v>
      </c>
      <c r="E154" s="9"/>
      <c r="F154" s="9" t="s">
        <v>3802</v>
      </c>
      <c r="G154" s="9" t="s">
        <v>3849</v>
      </c>
      <c r="H154" s="5" t="s">
        <v>3857</v>
      </c>
      <c r="I154" s="5">
        <v>0</v>
      </c>
      <c r="J154" s="5" t="s">
        <v>3851</v>
      </c>
      <c r="K154" s="5"/>
      <c r="L154" s="5" t="s">
        <v>1971</v>
      </c>
      <c r="M154" s="5" t="s">
        <v>4949</v>
      </c>
      <c r="T154" s="2"/>
    </row>
    <row r="155" spans="1:20" x14ac:dyDescent="0.25">
      <c r="A155" t="s">
        <v>3496</v>
      </c>
      <c r="B155" s="9">
        <v>0</v>
      </c>
      <c r="C155" s="9">
        <v>300</v>
      </c>
      <c r="D155" s="9" t="s">
        <v>1974</v>
      </c>
      <c r="E155" s="9"/>
      <c r="F155" s="9" t="s">
        <v>3804</v>
      </c>
      <c r="G155" s="9" t="s">
        <v>3849</v>
      </c>
      <c r="H155" s="5" t="s">
        <v>3857</v>
      </c>
      <c r="I155" s="5">
        <v>-1</v>
      </c>
      <c r="J155" s="5" t="s">
        <v>3850</v>
      </c>
      <c r="K155" s="5"/>
      <c r="L155" s="5" t="s">
        <v>1973</v>
      </c>
      <c r="M155" s="5" t="s">
        <v>4950</v>
      </c>
      <c r="T155" s="2"/>
    </row>
    <row r="156" spans="1:20" x14ac:dyDescent="0.25">
      <c r="A156" t="s">
        <v>3495</v>
      </c>
      <c r="B156" s="9">
        <v>0</v>
      </c>
      <c r="C156" s="9">
        <v>300</v>
      </c>
      <c r="D156" s="9" t="s">
        <v>1974</v>
      </c>
      <c r="E156" s="9"/>
      <c r="F156" s="9" t="s">
        <v>3803</v>
      </c>
      <c r="G156" s="9" t="s">
        <v>3849</v>
      </c>
      <c r="H156" s="5"/>
      <c r="I156" s="5">
        <v>0</v>
      </c>
      <c r="J156" s="5" t="s">
        <v>3851</v>
      </c>
      <c r="K156" s="5"/>
      <c r="L156" s="5"/>
      <c r="M156" s="5"/>
      <c r="T156" s="2"/>
    </row>
    <row r="157" spans="1:20" x14ac:dyDescent="0.25">
      <c r="A157" t="s">
        <v>3497</v>
      </c>
      <c r="B157" s="9">
        <v>0</v>
      </c>
      <c r="C157" s="9">
        <v>300</v>
      </c>
      <c r="D157" s="9" t="s">
        <v>1976</v>
      </c>
      <c r="E157" s="9" t="s">
        <v>222</v>
      </c>
      <c r="F157" s="9" t="s">
        <v>3805</v>
      </c>
      <c r="G157" s="9" t="s">
        <v>3849</v>
      </c>
      <c r="H157" s="5"/>
      <c r="I157" s="5">
        <v>0</v>
      </c>
      <c r="J157" s="5" t="s">
        <v>3850</v>
      </c>
      <c r="K157" s="5"/>
      <c r="L157" s="5" t="s">
        <v>1975</v>
      </c>
      <c r="M157" s="5" t="s">
        <v>4967</v>
      </c>
      <c r="T157" s="2"/>
    </row>
    <row r="158" spans="1:20" x14ac:dyDescent="0.25">
      <c r="A158" t="s">
        <v>3498</v>
      </c>
      <c r="B158" s="9">
        <v>-300</v>
      </c>
      <c r="C158" s="9">
        <v>300</v>
      </c>
      <c r="D158" s="9" t="s">
        <v>3595</v>
      </c>
      <c r="E158" s="9"/>
      <c r="F158" s="9" t="s">
        <v>3806</v>
      </c>
      <c r="G158" s="9" t="s">
        <v>3849</v>
      </c>
      <c r="H158" s="5"/>
      <c r="I158" s="5">
        <v>0</v>
      </c>
      <c r="J158" s="5" t="s">
        <v>3850</v>
      </c>
      <c r="K158" s="5"/>
      <c r="L158" s="5" t="s">
        <v>1977</v>
      </c>
      <c r="M158" s="5" t="s">
        <v>4968</v>
      </c>
      <c r="T158" s="2"/>
    </row>
    <row r="159" spans="1:20" x14ac:dyDescent="0.25">
      <c r="A159" t="s">
        <v>3499</v>
      </c>
      <c r="B159" s="9">
        <v>-300</v>
      </c>
      <c r="C159" s="9">
        <v>300</v>
      </c>
      <c r="D159" s="9" t="s">
        <v>3595</v>
      </c>
      <c r="E159" s="9"/>
      <c r="F159" s="9" t="s">
        <v>3807</v>
      </c>
      <c r="G159" s="9" t="s">
        <v>3849</v>
      </c>
      <c r="H159" s="5" t="s">
        <v>3857</v>
      </c>
      <c r="I159" s="5">
        <v>-1</v>
      </c>
      <c r="J159" s="5" t="s">
        <v>3850</v>
      </c>
      <c r="K159" s="5"/>
      <c r="L159" s="5"/>
      <c r="M159" s="5"/>
      <c r="T159" s="2"/>
    </row>
    <row r="160" spans="1:20" x14ac:dyDescent="0.25">
      <c r="A160" t="s">
        <v>3500</v>
      </c>
      <c r="B160" s="9">
        <v>0</v>
      </c>
      <c r="C160" s="9">
        <v>300</v>
      </c>
      <c r="D160" s="9" t="s">
        <v>1980</v>
      </c>
      <c r="E160" s="9"/>
      <c r="F160" s="9" t="s">
        <v>3805</v>
      </c>
      <c r="G160" s="9" t="s">
        <v>3849</v>
      </c>
      <c r="H160" s="5"/>
      <c r="I160" s="5">
        <v>0</v>
      </c>
      <c r="J160" s="5" t="s">
        <v>3851</v>
      </c>
      <c r="K160" s="5"/>
      <c r="L160" s="5" t="s">
        <v>1979</v>
      </c>
      <c r="M160" s="5" t="s">
        <v>4969</v>
      </c>
      <c r="T160" s="2"/>
    </row>
    <row r="161" spans="1:20" x14ac:dyDescent="0.25">
      <c r="A161" t="s">
        <v>3501</v>
      </c>
      <c r="B161" s="9">
        <v>0</v>
      </c>
      <c r="C161" s="9">
        <v>300</v>
      </c>
      <c r="D161" s="9" t="s">
        <v>1980</v>
      </c>
      <c r="E161" s="9"/>
      <c r="F161" s="9" t="s">
        <v>3808</v>
      </c>
      <c r="G161" s="9" t="s">
        <v>3849</v>
      </c>
      <c r="H161" s="5" t="s">
        <v>3857</v>
      </c>
      <c r="I161" s="5">
        <v>1</v>
      </c>
      <c r="J161" s="5"/>
      <c r="K161" s="5"/>
      <c r="L161" s="5"/>
      <c r="M161" s="5"/>
      <c r="T161" s="2"/>
    </row>
    <row r="162" spans="1:20" x14ac:dyDescent="0.25">
      <c r="A162" t="s">
        <v>3502</v>
      </c>
      <c r="B162" s="9">
        <v>-300</v>
      </c>
      <c r="C162" s="9">
        <v>300</v>
      </c>
      <c r="D162" s="9" t="s">
        <v>1982</v>
      </c>
      <c r="E162" s="9"/>
      <c r="F162" s="9" t="s">
        <v>3809</v>
      </c>
      <c r="G162" s="9" t="s">
        <v>3849</v>
      </c>
      <c r="H162" s="5"/>
      <c r="I162" s="5">
        <v>0</v>
      </c>
      <c r="J162" s="5" t="s">
        <v>3852</v>
      </c>
      <c r="K162" s="5"/>
      <c r="L162" s="5" t="s">
        <v>1981</v>
      </c>
      <c r="M162" s="5" t="s">
        <v>4989</v>
      </c>
      <c r="T162" s="2"/>
    </row>
    <row r="163" spans="1:20" x14ac:dyDescent="0.25">
      <c r="A163" t="s">
        <v>3503</v>
      </c>
      <c r="B163" s="9">
        <v>-300</v>
      </c>
      <c r="C163" s="9">
        <v>300</v>
      </c>
      <c r="D163" s="9" t="s">
        <v>1982</v>
      </c>
      <c r="E163" s="9"/>
      <c r="F163" s="9" t="s">
        <v>3810</v>
      </c>
      <c r="G163" s="9" t="s">
        <v>3849</v>
      </c>
      <c r="H163" s="5" t="s">
        <v>3857</v>
      </c>
      <c r="I163" s="5">
        <v>0</v>
      </c>
      <c r="J163" s="5" t="s">
        <v>3852</v>
      </c>
      <c r="K163" s="5"/>
      <c r="L163" s="5"/>
      <c r="M163" s="5"/>
      <c r="T163" s="2"/>
    </row>
    <row r="164" spans="1:20" x14ac:dyDescent="0.25">
      <c r="A164" t="s">
        <v>3507</v>
      </c>
      <c r="B164" s="9">
        <v>-300</v>
      </c>
      <c r="C164" s="9">
        <v>300</v>
      </c>
      <c r="D164" s="9" t="s">
        <v>1990</v>
      </c>
      <c r="E164" s="9"/>
      <c r="F164" s="9" t="s">
        <v>3814</v>
      </c>
      <c r="G164" s="9" t="s">
        <v>3849</v>
      </c>
      <c r="H164" s="5" t="s">
        <v>3857</v>
      </c>
      <c r="I164" s="5">
        <v>0</v>
      </c>
      <c r="J164" s="5" t="s">
        <v>3852</v>
      </c>
      <c r="K164" s="5"/>
      <c r="L164" s="5" t="s">
        <v>1989</v>
      </c>
      <c r="M164" s="5" t="s">
        <v>5043</v>
      </c>
      <c r="T164" s="2"/>
    </row>
    <row r="165" spans="1:20" x14ac:dyDescent="0.25">
      <c r="A165" t="s">
        <v>3509</v>
      </c>
      <c r="B165" s="9">
        <v>-300</v>
      </c>
      <c r="C165" s="9">
        <v>300</v>
      </c>
      <c r="D165" s="9" t="s">
        <v>1992</v>
      </c>
      <c r="E165" s="9"/>
      <c r="F165" s="9" t="s">
        <v>3816</v>
      </c>
      <c r="G165" s="9" t="s">
        <v>3849</v>
      </c>
      <c r="H165" s="5" t="s">
        <v>3857</v>
      </c>
      <c r="I165" s="5">
        <v>-1</v>
      </c>
      <c r="J165" s="5" t="s">
        <v>3850</v>
      </c>
      <c r="K165" s="5"/>
      <c r="L165" s="5"/>
      <c r="M165" s="5"/>
      <c r="T165" s="2"/>
    </row>
    <row r="166" spans="1:20" x14ac:dyDescent="0.25">
      <c r="A166" t="s">
        <v>3508</v>
      </c>
      <c r="B166" s="9">
        <v>0</v>
      </c>
      <c r="C166" s="9">
        <v>300</v>
      </c>
      <c r="D166" s="9" t="s">
        <v>1992</v>
      </c>
      <c r="E166" s="9"/>
      <c r="F166" s="9" t="s">
        <v>3815</v>
      </c>
      <c r="G166" s="9" t="s">
        <v>3849</v>
      </c>
      <c r="H166" s="5"/>
      <c r="I166" s="5">
        <v>0</v>
      </c>
      <c r="J166" s="5" t="s">
        <v>3851</v>
      </c>
      <c r="K166" s="5"/>
      <c r="L166" s="5" t="s">
        <v>1991</v>
      </c>
      <c r="M166" s="5" t="s">
        <v>5044</v>
      </c>
      <c r="T166" s="2"/>
    </row>
    <row r="167" spans="1:20" x14ac:dyDescent="0.25">
      <c r="A167" t="s">
        <v>3511</v>
      </c>
      <c r="B167" s="9">
        <v>0</v>
      </c>
      <c r="C167" s="9">
        <v>300</v>
      </c>
      <c r="D167" s="9" t="s">
        <v>1996</v>
      </c>
      <c r="E167" s="9" t="s">
        <v>222</v>
      </c>
      <c r="F167" s="9" t="s">
        <v>3648</v>
      </c>
      <c r="G167" s="9" t="s">
        <v>3849</v>
      </c>
      <c r="H167" s="5"/>
      <c r="I167" s="5">
        <v>0</v>
      </c>
      <c r="J167" s="5" t="s">
        <v>3850</v>
      </c>
      <c r="K167" s="5"/>
      <c r="L167" s="5" t="s">
        <v>1995</v>
      </c>
      <c r="M167" s="5" t="s">
        <v>5071</v>
      </c>
      <c r="T167" s="2"/>
    </row>
    <row r="168" spans="1:20" x14ac:dyDescent="0.25">
      <c r="A168" t="s">
        <v>3324</v>
      </c>
      <c r="B168" s="9">
        <v>0</v>
      </c>
      <c r="C168" s="9">
        <v>300</v>
      </c>
      <c r="D168" s="9" t="s">
        <v>1998</v>
      </c>
      <c r="E168" s="9"/>
      <c r="F168" s="9" t="s">
        <v>3648</v>
      </c>
      <c r="G168" s="9" t="s">
        <v>3849</v>
      </c>
      <c r="H168" s="5"/>
      <c r="I168" s="5">
        <v>0</v>
      </c>
      <c r="J168" s="5" t="s">
        <v>3850</v>
      </c>
      <c r="K168" s="5"/>
      <c r="L168" s="5" t="s">
        <v>1997</v>
      </c>
      <c r="M168" s="5" t="s">
        <v>5072</v>
      </c>
      <c r="T168" s="2"/>
    </row>
    <row r="169" spans="1:20" x14ac:dyDescent="0.25">
      <c r="A169" t="s">
        <v>3325</v>
      </c>
      <c r="B169" s="9">
        <v>0</v>
      </c>
      <c r="C169" s="9">
        <v>300</v>
      </c>
      <c r="D169" s="9" t="s">
        <v>1998</v>
      </c>
      <c r="E169" s="9"/>
      <c r="F169" s="9" t="s">
        <v>3649</v>
      </c>
      <c r="G169" s="9" t="s">
        <v>3849</v>
      </c>
      <c r="H169" s="5" t="s">
        <v>3857</v>
      </c>
      <c r="I169" s="5">
        <v>1</v>
      </c>
      <c r="J169" s="5" t="s">
        <v>3850</v>
      </c>
      <c r="K169" s="5"/>
      <c r="L169" s="5"/>
      <c r="M169" s="5"/>
      <c r="T169" s="2"/>
    </row>
    <row r="170" spans="1:20" x14ac:dyDescent="0.25">
      <c r="A170" t="s">
        <v>3512</v>
      </c>
      <c r="B170" s="9">
        <v>-300</v>
      </c>
      <c r="C170" s="9">
        <v>300</v>
      </c>
      <c r="D170" s="9" t="s">
        <v>2000</v>
      </c>
      <c r="E170" s="9"/>
      <c r="F170" s="9" t="s">
        <v>3818</v>
      </c>
      <c r="G170" s="9" t="s">
        <v>3849</v>
      </c>
      <c r="H170" s="5"/>
      <c r="I170" s="5">
        <v>1</v>
      </c>
      <c r="J170" s="5" t="s">
        <v>3850</v>
      </c>
      <c r="K170" s="5"/>
      <c r="L170" s="5" t="s">
        <v>1999</v>
      </c>
      <c r="M170" s="5" t="s">
        <v>5075</v>
      </c>
      <c r="T170" s="2"/>
    </row>
    <row r="171" spans="1:20" x14ac:dyDescent="0.25">
      <c r="A171" t="s">
        <v>3513</v>
      </c>
      <c r="B171" s="9">
        <v>-300</v>
      </c>
      <c r="C171" s="9">
        <v>300</v>
      </c>
      <c r="D171" s="9" t="s">
        <v>2000</v>
      </c>
      <c r="E171" s="9"/>
      <c r="F171" s="9" t="s">
        <v>3819</v>
      </c>
      <c r="G171" s="9" t="s">
        <v>3849</v>
      </c>
      <c r="H171" s="5" t="s">
        <v>3857</v>
      </c>
      <c r="I171" s="5">
        <v>0</v>
      </c>
      <c r="J171" s="5" t="s">
        <v>3851</v>
      </c>
      <c r="K171" s="5"/>
      <c r="L171" s="5"/>
      <c r="M171" s="5"/>
      <c r="T171" s="2"/>
    </row>
    <row r="172" spans="1:20" x14ac:dyDescent="0.25">
      <c r="A172" t="s">
        <v>3514</v>
      </c>
      <c r="B172" s="9">
        <v>0</v>
      </c>
      <c r="C172" s="9">
        <v>300</v>
      </c>
      <c r="D172" s="9" t="s">
        <v>3596</v>
      </c>
      <c r="E172" s="9"/>
      <c r="F172" s="9" t="s">
        <v>3820</v>
      </c>
      <c r="G172" s="9" t="s">
        <v>3849</v>
      </c>
      <c r="H172" s="5" t="s">
        <v>3857</v>
      </c>
      <c r="I172" s="5">
        <v>0</v>
      </c>
      <c r="J172" s="5" t="s">
        <v>3850</v>
      </c>
      <c r="K172" s="5"/>
      <c r="L172" s="5" t="s">
        <v>2001</v>
      </c>
      <c r="M172" s="5" t="s">
        <v>5078</v>
      </c>
      <c r="T172" s="2"/>
    </row>
    <row r="173" spans="1:20" x14ac:dyDescent="0.25">
      <c r="A173" t="s">
        <v>3516</v>
      </c>
      <c r="B173" s="9">
        <v>0</v>
      </c>
      <c r="C173" s="9">
        <v>300</v>
      </c>
      <c r="D173" s="9" t="s">
        <v>2006</v>
      </c>
      <c r="E173" s="9" t="s">
        <v>222</v>
      </c>
      <c r="F173" s="9" t="s">
        <v>3822</v>
      </c>
      <c r="G173" s="9" t="s">
        <v>3849</v>
      </c>
      <c r="H173" s="5"/>
      <c r="I173" s="5">
        <v>0</v>
      </c>
      <c r="J173" s="5" t="s">
        <v>3850</v>
      </c>
      <c r="K173" s="5"/>
      <c r="L173" s="5" t="s">
        <v>2005</v>
      </c>
      <c r="M173" s="5" t="s">
        <v>5082</v>
      </c>
      <c r="T173" s="2"/>
    </row>
    <row r="174" spans="1:20" x14ac:dyDescent="0.25">
      <c r="A174" t="s">
        <v>3554</v>
      </c>
      <c r="B174" s="9">
        <v>0</v>
      </c>
      <c r="C174" s="9">
        <v>300</v>
      </c>
      <c r="D174" s="9" t="s">
        <v>3613</v>
      </c>
      <c r="E174" s="9" t="s">
        <v>2012</v>
      </c>
      <c r="F174" s="9" t="s">
        <v>3848</v>
      </c>
      <c r="G174" s="9" t="s">
        <v>3849</v>
      </c>
      <c r="H174" s="5"/>
      <c r="I174" s="5">
        <v>-1</v>
      </c>
      <c r="J174" s="5" t="s">
        <v>3850</v>
      </c>
      <c r="K174" s="5"/>
      <c r="L174" s="5" t="s">
        <v>2011</v>
      </c>
      <c r="M174" s="5" t="s">
        <v>5110</v>
      </c>
      <c r="T174" s="2"/>
    </row>
    <row r="175" spans="1:20" x14ac:dyDescent="0.25">
      <c r="A175" t="s">
        <v>3327</v>
      </c>
      <c r="B175" s="9">
        <v>0</v>
      </c>
      <c r="C175" s="9">
        <v>300</v>
      </c>
      <c r="D175" s="9" t="s">
        <v>2016</v>
      </c>
      <c r="E175" s="9"/>
      <c r="F175" s="9" t="s">
        <v>3651</v>
      </c>
      <c r="G175" s="9" t="s">
        <v>3849</v>
      </c>
      <c r="H175" s="5" t="s">
        <v>3857</v>
      </c>
      <c r="I175" s="5">
        <v>0</v>
      </c>
      <c r="J175" s="5" t="s">
        <v>3851</v>
      </c>
      <c r="K175" s="5"/>
      <c r="L175" s="5" t="s">
        <v>2015</v>
      </c>
      <c r="M175" s="5" t="s">
        <v>5114</v>
      </c>
      <c r="T175" s="2"/>
    </row>
    <row r="176" spans="1:20" x14ac:dyDescent="0.25">
      <c r="A176" t="s">
        <v>3326</v>
      </c>
      <c r="B176" s="9">
        <v>0</v>
      </c>
      <c r="C176" s="9">
        <v>300</v>
      </c>
      <c r="D176" s="9" t="s">
        <v>2016</v>
      </c>
      <c r="E176" s="9"/>
      <c r="F176" s="9" t="s">
        <v>3650</v>
      </c>
      <c r="G176" s="9" t="s">
        <v>3849</v>
      </c>
      <c r="H176" s="5"/>
      <c r="I176" s="5">
        <v>1</v>
      </c>
      <c r="J176" s="5" t="s">
        <v>3850</v>
      </c>
      <c r="K176" s="5"/>
      <c r="L176" s="5"/>
      <c r="M176" s="5"/>
      <c r="T176" s="2"/>
    </row>
    <row r="177" spans="1:20" x14ac:dyDescent="0.25">
      <c r="A177" t="s">
        <v>3520</v>
      </c>
      <c r="B177" s="9">
        <v>0</v>
      </c>
      <c r="C177" s="9">
        <v>300</v>
      </c>
      <c r="D177" s="9" t="s">
        <v>2018</v>
      </c>
      <c r="E177" s="9" t="s">
        <v>222</v>
      </c>
      <c r="F177" s="9" t="s">
        <v>3826</v>
      </c>
      <c r="G177" s="9" t="s">
        <v>3849</v>
      </c>
      <c r="H177" s="5"/>
      <c r="I177" s="5">
        <v>1</v>
      </c>
      <c r="J177" s="5" t="s">
        <v>3850</v>
      </c>
      <c r="K177" s="5"/>
      <c r="L177" s="5" t="s">
        <v>2017</v>
      </c>
      <c r="M177" s="5" t="s">
        <v>5117</v>
      </c>
      <c r="T177" s="2"/>
    </row>
    <row r="178" spans="1:20" x14ac:dyDescent="0.25">
      <c r="A178" t="s">
        <v>3521</v>
      </c>
      <c r="B178" s="9">
        <v>-300</v>
      </c>
      <c r="C178" s="9">
        <v>300</v>
      </c>
      <c r="D178" s="9" t="s">
        <v>2020</v>
      </c>
      <c r="E178" s="9"/>
      <c r="F178" s="9" t="s">
        <v>3826</v>
      </c>
      <c r="G178" s="9" t="s">
        <v>3849</v>
      </c>
      <c r="H178" s="5" t="s">
        <v>3857</v>
      </c>
      <c r="I178" s="5">
        <v>0</v>
      </c>
      <c r="J178" s="5" t="s">
        <v>3851</v>
      </c>
      <c r="K178" s="5"/>
      <c r="L178" s="5" t="s">
        <v>2019</v>
      </c>
      <c r="M178" s="5" t="s">
        <v>5126</v>
      </c>
      <c r="T178" s="2"/>
    </row>
    <row r="179" spans="1:20" x14ac:dyDescent="0.25">
      <c r="A179" t="s">
        <v>3523</v>
      </c>
      <c r="B179" s="9">
        <v>0</v>
      </c>
      <c r="C179" s="9">
        <v>300</v>
      </c>
      <c r="D179" s="9" t="s">
        <v>2022</v>
      </c>
      <c r="E179" s="9"/>
      <c r="F179" s="9" t="s">
        <v>3828</v>
      </c>
      <c r="G179" s="9" t="s">
        <v>3849</v>
      </c>
      <c r="H179" s="5" t="s">
        <v>3857</v>
      </c>
      <c r="I179" s="5">
        <v>-2</v>
      </c>
      <c r="J179" s="5" t="s">
        <v>3850</v>
      </c>
      <c r="K179" s="5"/>
      <c r="L179" s="5" t="s">
        <v>2021</v>
      </c>
      <c r="M179" s="5" t="s">
        <v>5127</v>
      </c>
      <c r="T179" s="2"/>
    </row>
    <row r="180" spans="1:20" x14ac:dyDescent="0.25">
      <c r="A180" t="s">
        <v>3522</v>
      </c>
      <c r="B180" s="9">
        <v>-300</v>
      </c>
      <c r="C180" s="9">
        <v>300</v>
      </c>
      <c r="D180" s="9" t="s">
        <v>2022</v>
      </c>
      <c r="E180" s="9"/>
      <c r="F180" s="9" t="s">
        <v>3827</v>
      </c>
      <c r="G180" s="9" t="s">
        <v>3849</v>
      </c>
      <c r="H180" s="5"/>
      <c r="I180" s="5">
        <v>0</v>
      </c>
      <c r="J180" s="5" t="s">
        <v>3851</v>
      </c>
      <c r="K180" s="5"/>
      <c r="L180" s="5"/>
      <c r="M180" s="5"/>
    </row>
    <row r="181" spans="1:20" x14ac:dyDescent="0.25">
      <c r="A181" t="s">
        <v>3553</v>
      </c>
      <c r="B181" s="9">
        <v>0</v>
      </c>
      <c r="C181" s="9">
        <v>300</v>
      </c>
      <c r="D181" s="9" t="s">
        <v>3612</v>
      </c>
      <c r="E181" s="9" t="s">
        <v>3612</v>
      </c>
      <c r="F181" s="9" t="s">
        <v>3843</v>
      </c>
      <c r="G181" s="9" t="s">
        <v>3849</v>
      </c>
      <c r="H181" s="5"/>
      <c r="I181" s="5">
        <v>0</v>
      </c>
      <c r="J181" s="5" t="s">
        <v>3854</v>
      </c>
      <c r="K181" s="5"/>
      <c r="L181" s="5" t="s">
        <v>2023</v>
      </c>
      <c r="M181" s="5" t="s">
        <v>5132</v>
      </c>
      <c r="T181" s="2"/>
    </row>
    <row r="182" spans="1:20" x14ac:dyDescent="0.25">
      <c r="A182" t="s">
        <v>3548</v>
      </c>
      <c r="B182" s="9">
        <v>0</v>
      </c>
      <c r="C182" s="9">
        <v>300</v>
      </c>
      <c r="D182" s="9" t="s">
        <v>3609</v>
      </c>
      <c r="E182" s="9" t="s">
        <v>2026</v>
      </c>
      <c r="F182" s="9" t="s">
        <v>3843</v>
      </c>
      <c r="G182" s="9" t="s">
        <v>3849</v>
      </c>
      <c r="H182" s="5"/>
      <c r="I182" s="5">
        <v>2</v>
      </c>
      <c r="J182" s="5" t="s">
        <v>3853</v>
      </c>
      <c r="K182" s="5"/>
      <c r="L182" s="5" t="s">
        <v>2025</v>
      </c>
      <c r="M182" s="5" t="s">
        <v>5133</v>
      </c>
      <c r="T182" s="2"/>
    </row>
    <row r="183" spans="1:20" x14ac:dyDescent="0.25">
      <c r="A183" t="s">
        <v>3524</v>
      </c>
      <c r="B183" s="9">
        <v>0</v>
      </c>
      <c r="C183" s="9">
        <v>300</v>
      </c>
      <c r="D183" s="9" t="s">
        <v>2028</v>
      </c>
      <c r="E183" s="9" t="s">
        <v>3628</v>
      </c>
      <c r="F183" s="9" t="s">
        <v>3829</v>
      </c>
      <c r="G183" s="9" t="s">
        <v>3849</v>
      </c>
      <c r="H183" s="5"/>
      <c r="I183" s="5">
        <v>0</v>
      </c>
      <c r="J183" s="5" t="s">
        <v>3850</v>
      </c>
      <c r="K183" s="5"/>
      <c r="L183" s="5" t="s">
        <v>2027</v>
      </c>
      <c r="M183" s="5" t="s">
        <v>5160</v>
      </c>
      <c r="T183" s="3"/>
    </row>
    <row r="184" spans="1:20" x14ac:dyDescent="0.25">
      <c r="A184" t="s">
        <v>3527</v>
      </c>
      <c r="B184" s="9">
        <v>-300</v>
      </c>
      <c r="C184" s="9">
        <v>300</v>
      </c>
      <c r="D184" s="9" t="s">
        <v>2034</v>
      </c>
      <c r="E184" s="9"/>
      <c r="F184" s="9" t="s">
        <v>3832</v>
      </c>
      <c r="G184" s="9" t="s">
        <v>3849</v>
      </c>
      <c r="H184" s="5"/>
      <c r="I184" s="5">
        <v>-1</v>
      </c>
      <c r="J184" s="5" t="s">
        <v>3850</v>
      </c>
      <c r="K184" s="5"/>
      <c r="L184" s="5" t="s">
        <v>2033</v>
      </c>
      <c r="M184" s="5" t="s">
        <v>5171</v>
      </c>
      <c r="T184" s="2"/>
    </row>
    <row r="185" spans="1:20" x14ac:dyDescent="0.25">
      <c r="A185" t="s">
        <v>3528</v>
      </c>
      <c r="B185" s="9">
        <v>-300</v>
      </c>
      <c r="C185" s="9">
        <v>300</v>
      </c>
      <c r="D185" s="9" t="s">
        <v>2034</v>
      </c>
      <c r="E185" s="9"/>
      <c r="F185" s="9" t="s">
        <v>3833</v>
      </c>
      <c r="G185" s="9" t="s">
        <v>3849</v>
      </c>
      <c r="H185" s="5" t="s">
        <v>3857</v>
      </c>
      <c r="I185" s="5">
        <v>0</v>
      </c>
      <c r="J185" s="5" t="s">
        <v>3851</v>
      </c>
      <c r="K185" s="5"/>
      <c r="L185" s="5"/>
      <c r="M185" s="5"/>
      <c r="T185" s="2"/>
    </row>
    <row r="186" spans="1:20" x14ac:dyDescent="0.25">
      <c r="A186" t="s">
        <v>3330</v>
      </c>
      <c r="B186" s="9">
        <v>0</v>
      </c>
      <c r="C186" s="9">
        <v>300</v>
      </c>
      <c r="D186" s="9" t="s">
        <v>2042</v>
      </c>
      <c r="E186" s="9"/>
      <c r="F186" s="9" t="s">
        <v>3654</v>
      </c>
      <c r="G186" s="9" t="s">
        <v>3849</v>
      </c>
      <c r="H186" s="5" t="s">
        <v>3857</v>
      </c>
      <c r="I186" s="5">
        <v>0</v>
      </c>
      <c r="J186" s="5" t="s">
        <v>3852</v>
      </c>
      <c r="K186" s="5"/>
      <c r="L186" s="5" t="s">
        <v>2041</v>
      </c>
      <c r="M186" s="5" t="s">
        <v>5227</v>
      </c>
      <c r="T186" s="2"/>
    </row>
    <row r="187" spans="1:20" x14ac:dyDescent="0.25">
      <c r="A187" t="s">
        <v>3329</v>
      </c>
      <c r="B187" s="9">
        <v>-300</v>
      </c>
      <c r="C187" s="9">
        <v>300</v>
      </c>
      <c r="D187" s="9" t="s">
        <v>2042</v>
      </c>
      <c r="E187" s="9"/>
      <c r="F187" s="9" t="s">
        <v>3653</v>
      </c>
      <c r="G187" s="9" t="s">
        <v>3849</v>
      </c>
      <c r="H187" s="5"/>
      <c r="I187" s="5">
        <v>0</v>
      </c>
      <c r="J187" s="5" t="s">
        <v>3852</v>
      </c>
      <c r="K187" s="5"/>
      <c r="L187" s="5"/>
      <c r="M187" s="5"/>
      <c r="T187" s="2"/>
    </row>
    <row r="188" spans="1:20" x14ac:dyDescent="0.25">
      <c r="A188" t="s">
        <v>3531</v>
      </c>
      <c r="B188" s="9">
        <v>0</v>
      </c>
      <c r="C188" s="9">
        <v>300</v>
      </c>
      <c r="D188" s="9" t="s">
        <v>2044</v>
      </c>
      <c r="E188" s="9" t="s">
        <v>222</v>
      </c>
      <c r="F188" s="9" t="s">
        <v>3836</v>
      </c>
      <c r="G188" s="9" t="s">
        <v>3849</v>
      </c>
      <c r="H188" s="5"/>
      <c r="I188" s="5">
        <v>0</v>
      </c>
      <c r="J188" s="5" t="s">
        <v>3852</v>
      </c>
      <c r="K188" s="5"/>
      <c r="L188" s="5" t="s">
        <v>2043</v>
      </c>
      <c r="M188" s="5" t="s">
        <v>5231</v>
      </c>
      <c r="T188" s="2"/>
    </row>
    <row r="189" spans="1:20" x14ac:dyDescent="0.25">
      <c r="A189" t="s">
        <v>3532</v>
      </c>
      <c r="B189" s="9">
        <v>-300</v>
      </c>
      <c r="C189" s="9">
        <v>300</v>
      </c>
      <c r="D189" s="9" t="s">
        <v>2046</v>
      </c>
      <c r="E189" s="9"/>
      <c r="F189" s="9" t="s">
        <v>3836</v>
      </c>
      <c r="G189" s="9" t="s">
        <v>3849</v>
      </c>
      <c r="H189" s="5" t="s">
        <v>3857</v>
      </c>
      <c r="I189" s="5">
        <v>-2</v>
      </c>
      <c r="J189" s="5" t="s">
        <v>3850</v>
      </c>
      <c r="K189" s="5"/>
      <c r="L189" s="5" t="s">
        <v>2045</v>
      </c>
      <c r="M189" s="5" t="s">
        <v>5232</v>
      </c>
      <c r="T189" s="2"/>
    </row>
    <row r="190" spans="1:20" x14ac:dyDescent="0.25">
      <c r="A190" t="s">
        <v>3534</v>
      </c>
      <c r="B190" s="9">
        <v>0</v>
      </c>
      <c r="C190" s="9">
        <v>300</v>
      </c>
      <c r="D190" s="9" t="s">
        <v>2052</v>
      </c>
      <c r="E190" s="9" t="s">
        <v>222</v>
      </c>
      <c r="F190" s="9" t="s">
        <v>3838</v>
      </c>
      <c r="G190" s="9" t="s">
        <v>3849</v>
      </c>
      <c r="H190" s="5"/>
      <c r="I190" s="5">
        <v>0</v>
      </c>
      <c r="J190" s="5" t="s">
        <v>3851</v>
      </c>
      <c r="K190" s="5"/>
      <c r="L190" s="5" t="s">
        <v>2051</v>
      </c>
      <c r="M190" s="5" t="s">
        <v>5243</v>
      </c>
      <c r="T190" s="3"/>
    </row>
    <row r="191" spans="1:20" x14ac:dyDescent="0.25">
      <c r="A191" t="s">
        <v>3535</v>
      </c>
      <c r="B191" s="9">
        <v>0</v>
      </c>
      <c r="C191" s="9">
        <v>300</v>
      </c>
      <c r="D191" s="9" t="s">
        <v>2054</v>
      </c>
      <c r="E191" s="9"/>
      <c r="F191" s="9" t="s">
        <v>3838</v>
      </c>
      <c r="G191" s="9" t="s">
        <v>3849</v>
      </c>
      <c r="H191" s="5" t="s">
        <v>3857</v>
      </c>
      <c r="I191" s="5">
        <v>-1</v>
      </c>
      <c r="J191" s="5" t="s">
        <v>3850</v>
      </c>
      <c r="K191" s="5"/>
      <c r="L191" s="5" t="s">
        <v>2053</v>
      </c>
      <c r="M191" s="5" t="s">
        <v>5248</v>
      </c>
      <c r="T191" s="2"/>
    </row>
    <row r="192" spans="1:20" x14ac:dyDescent="0.25">
      <c r="A192" t="s">
        <v>3332</v>
      </c>
      <c r="B192">
        <v>-300</v>
      </c>
      <c r="C192">
        <v>300</v>
      </c>
      <c r="D192" t="s">
        <v>1683</v>
      </c>
      <c r="F192" t="s">
        <v>3656</v>
      </c>
      <c r="G192" t="s">
        <v>3849</v>
      </c>
      <c r="H192" t="s">
        <v>3857</v>
      </c>
      <c r="I192">
        <v>0</v>
      </c>
      <c r="J192" t="s">
        <v>3850</v>
      </c>
      <c r="L192" t="s">
        <v>1682</v>
      </c>
      <c r="M192" t="s">
        <v>3867</v>
      </c>
      <c r="N192" t="s">
        <v>3868</v>
      </c>
    </row>
    <row r="193" spans="1:29" x14ac:dyDescent="0.25">
      <c r="A193" s="1" t="s">
        <v>3336</v>
      </c>
      <c r="B193">
        <v>-300</v>
      </c>
      <c r="C193">
        <v>300</v>
      </c>
      <c r="D193" t="s">
        <v>1689</v>
      </c>
      <c r="F193" t="s">
        <v>3660</v>
      </c>
      <c r="G193" t="s">
        <v>3849</v>
      </c>
      <c r="H193" t="s">
        <v>3857</v>
      </c>
      <c r="I193">
        <v>0</v>
      </c>
      <c r="J193" t="s">
        <v>3850</v>
      </c>
      <c r="L193" s="5" t="s">
        <v>1688</v>
      </c>
      <c r="M193" s="5" t="s">
        <v>3907</v>
      </c>
      <c r="N193" t="s">
        <v>3868</v>
      </c>
      <c r="AB193" s="1"/>
      <c r="AC193" s="1"/>
    </row>
    <row r="194" spans="1:29" x14ac:dyDescent="0.25">
      <c r="A194" t="s">
        <v>3337</v>
      </c>
      <c r="B194">
        <v>-300</v>
      </c>
      <c r="C194">
        <v>300</v>
      </c>
      <c r="D194" t="s">
        <v>3558</v>
      </c>
      <c r="E194" t="s">
        <v>3616</v>
      </c>
      <c r="F194" t="s">
        <v>3661</v>
      </c>
      <c r="G194" t="s">
        <v>3849</v>
      </c>
      <c r="I194">
        <v>0</v>
      </c>
      <c r="J194" t="s">
        <v>3850</v>
      </c>
      <c r="L194" t="s">
        <v>1690</v>
      </c>
      <c r="M194" t="s">
        <v>3914</v>
      </c>
      <c r="N194" t="s">
        <v>3868</v>
      </c>
    </row>
    <row r="195" spans="1:29" x14ac:dyDescent="0.25">
      <c r="A195" t="s">
        <v>3338</v>
      </c>
      <c r="B195">
        <v>-300</v>
      </c>
      <c r="C195">
        <v>300</v>
      </c>
      <c r="D195" t="s">
        <v>3559</v>
      </c>
      <c r="E195" t="s">
        <v>3617</v>
      </c>
      <c r="F195" t="s">
        <v>3662</v>
      </c>
      <c r="G195" t="s">
        <v>3849</v>
      </c>
      <c r="I195">
        <v>0</v>
      </c>
      <c r="J195" t="s">
        <v>3850</v>
      </c>
      <c r="L195" t="s">
        <v>1692</v>
      </c>
      <c r="M195" t="s">
        <v>3927</v>
      </c>
      <c r="N195" t="s">
        <v>3868</v>
      </c>
    </row>
    <row r="196" spans="1:29" x14ac:dyDescent="0.25">
      <c r="A196" t="s">
        <v>3343</v>
      </c>
      <c r="B196">
        <v>-300</v>
      </c>
      <c r="C196">
        <v>300</v>
      </c>
      <c r="D196" t="s">
        <v>1699</v>
      </c>
      <c r="F196" t="s">
        <v>3667</v>
      </c>
      <c r="G196" t="s">
        <v>3849</v>
      </c>
      <c r="H196" t="s">
        <v>3857</v>
      </c>
      <c r="I196">
        <v>0</v>
      </c>
      <c r="J196" t="s">
        <v>3850</v>
      </c>
      <c r="L196" t="s">
        <v>1698</v>
      </c>
      <c r="M196" t="s">
        <v>3955</v>
      </c>
      <c r="N196" t="s">
        <v>3868</v>
      </c>
    </row>
    <row r="197" spans="1:29" x14ac:dyDescent="0.25">
      <c r="A197" t="s">
        <v>3312</v>
      </c>
      <c r="B197">
        <v>-300</v>
      </c>
      <c r="C197">
        <v>300</v>
      </c>
      <c r="D197" t="s">
        <v>1701</v>
      </c>
      <c r="F197" t="s">
        <v>3636</v>
      </c>
      <c r="G197" t="s">
        <v>3849</v>
      </c>
      <c r="H197" t="s">
        <v>3857</v>
      </c>
      <c r="I197">
        <v>0</v>
      </c>
      <c r="J197" t="s">
        <v>3850</v>
      </c>
      <c r="L197" t="s">
        <v>1700</v>
      </c>
      <c r="M197" t="s">
        <v>3968</v>
      </c>
      <c r="N197" t="s">
        <v>3868</v>
      </c>
    </row>
    <row r="198" spans="1:29" x14ac:dyDescent="0.25">
      <c r="A198" t="s">
        <v>3348</v>
      </c>
      <c r="B198">
        <v>-300</v>
      </c>
      <c r="C198">
        <v>300</v>
      </c>
      <c r="D198" t="s">
        <v>1709</v>
      </c>
      <c r="F198" t="s">
        <v>3671</v>
      </c>
      <c r="G198" t="s">
        <v>3849</v>
      </c>
      <c r="H198" t="s">
        <v>3857</v>
      </c>
      <c r="I198">
        <v>0</v>
      </c>
      <c r="J198" t="s">
        <v>3850</v>
      </c>
      <c r="L198" t="s">
        <v>1708</v>
      </c>
      <c r="M198" t="s">
        <v>4024</v>
      </c>
      <c r="N198" t="s">
        <v>3904</v>
      </c>
    </row>
    <row r="199" spans="1:29" x14ac:dyDescent="0.25">
      <c r="A199" t="s">
        <v>3360</v>
      </c>
      <c r="B199">
        <v>-300</v>
      </c>
      <c r="C199">
        <v>300</v>
      </c>
      <c r="D199" t="s">
        <v>3567</v>
      </c>
      <c r="E199" t="s">
        <v>222</v>
      </c>
      <c r="F199" t="s">
        <v>3680</v>
      </c>
      <c r="G199" t="s">
        <v>3849</v>
      </c>
      <c r="I199">
        <v>-1</v>
      </c>
      <c r="J199" t="s">
        <v>3850</v>
      </c>
      <c r="L199" t="s">
        <v>1732</v>
      </c>
      <c r="M199" t="s">
        <v>4118</v>
      </c>
      <c r="N199" t="s">
        <v>3868</v>
      </c>
    </row>
    <row r="200" spans="1:29" x14ac:dyDescent="0.25">
      <c r="A200" t="s">
        <v>3367</v>
      </c>
      <c r="B200">
        <v>-300</v>
      </c>
      <c r="C200">
        <v>300</v>
      </c>
      <c r="D200" t="s">
        <v>3570</v>
      </c>
      <c r="F200" t="s">
        <v>3686</v>
      </c>
      <c r="G200" t="s">
        <v>3849</v>
      </c>
      <c r="H200" t="s">
        <v>3857</v>
      </c>
      <c r="I200">
        <v>0</v>
      </c>
      <c r="J200" t="s">
        <v>3853</v>
      </c>
      <c r="L200" t="s">
        <v>1742</v>
      </c>
      <c r="M200" t="s">
        <v>4149</v>
      </c>
      <c r="N200" t="s">
        <v>3868</v>
      </c>
    </row>
    <row r="201" spans="1:29" x14ac:dyDescent="0.25">
      <c r="A201" t="s">
        <v>3372</v>
      </c>
      <c r="B201">
        <v>-300</v>
      </c>
      <c r="C201">
        <v>300</v>
      </c>
      <c r="D201" t="s">
        <v>3571</v>
      </c>
      <c r="E201" t="s">
        <v>222</v>
      </c>
      <c r="F201" t="s">
        <v>3691</v>
      </c>
      <c r="G201" t="s">
        <v>3849</v>
      </c>
      <c r="I201">
        <v>0</v>
      </c>
      <c r="J201" t="s">
        <v>3850</v>
      </c>
      <c r="L201" t="s">
        <v>1748</v>
      </c>
      <c r="M201" t="s">
        <v>4161</v>
      </c>
      <c r="N201" t="s">
        <v>3868</v>
      </c>
    </row>
    <row r="202" spans="1:29" x14ac:dyDescent="0.25">
      <c r="A202" t="s">
        <v>3315</v>
      </c>
      <c r="B202">
        <v>-300</v>
      </c>
      <c r="C202">
        <v>300</v>
      </c>
      <c r="D202" t="s">
        <v>1753</v>
      </c>
      <c r="F202" t="s">
        <v>3639</v>
      </c>
      <c r="G202" t="s">
        <v>3849</v>
      </c>
      <c r="H202" t="s">
        <v>3857</v>
      </c>
      <c r="I202">
        <v>0</v>
      </c>
      <c r="J202" t="s">
        <v>3850</v>
      </c>
      <c r="L202" t="s">
        <v>1752</v>
      </c>
      <c r="M202" t="s">
        <v>4172</v>
      </c>
      <c r="N202" t="s">
        <v>3868</v>
      </c>
    </row>
    <row r="203" spans="1:29" x14ac:dyDescent="0.25">
      <c r="A203" t="s">
        <v>3373</v>
      </c>
      <c r="B203">
        <v>-300</v>
      </c>
      <c r="C203">
        <v>300</v>
      </c>
      <c r="D203" t="s">
        <v>1755</v>
      </c>
      <c r="F203" t="s">
        <v>3692</v>
      </c>
      <c r="G203" t="s">
        <v>3849</v>
      </c>
      <c r="H203" t="s">
        <v>3857</v>
      </c>
      <c r="I203">
        <v>0</v>
      </c>
      <c r="J203" t="s">
        <v>3850</v>
      </c>
      <c r="L203" t="s">
        <v>1754</v>
      </c>
      <c r="M203" t="s">
        <v>4181</v>
      </c>
      <c r="N203" t="s">
        <v>3868</v>
      </c>
    </row>
    <row r="204" spans="1:29" x14ac:dyDescent="0.25">
      <c r="A204" t="s">
        <v>3374</v>
      </c>
      <c r="B204">
        <v>-300</v>
      </c>
      <c r="C204">
        <v>300</v>
      </c>
      <c r="D204" t="s">
        <v>1757</v>
      </c>
      <c r="F204" t="s">
        <v>3693</v>
      </c>
      <c r="G204" t="s">
        <v>3849</v>
      </c>
      <c r="H204" t="s">
        <v>3857</v>
      </c>
      <c r="I204">
        <v>0</v>
      </c>
      <c r="J204" t="s">
        <v>3850</v>
      </c>
      <c r="L204" t="s">
        <v>1756</v>
      </c>
      <c r="M204" t="s">
        <v>4184</v>
      </c>
      <c r="N204" t="s">
        <v>3868</v>
      </c>
    </row>
    <row r="205" spans="1:29" x14ac:dyDescent="0.25">
      <c r="A205" t="s">
        <v>3375</v>
      </c>
      <c r="B205">
        <v>-300</v>
      </c>
      <c r="C205">
        <v>300</v>
      </c>
      <c r="D205" t="s">
        <v>3572</v>
      </c>
      <c r="E205" t="s">
        <v>222</v>
      </c>
      <c r="F205" t="s">
        <v>3694</v>
      </c>
      <c r="G205" t="s">
        <v>3849</v>
      </c>
      <c r="I205">
        <v>0</v>
      </c>
      <c r="J205" t="s">
        <v>3850</v>
      </c>
      <c r="L205" t="s">
        <v>1758</v>
      </c>
      <c r="M205" t="s">
        <v>4185</v>
      </c>
      <c r="N205" t="s">
        <v>3868</v>
      </c>
    </row>
    <row r="206" spans="1:29" x14ac:dyDescent="0.25">
      <c r="A206" t="s">
        <v>3376</v>
      </c>
      <c r="B206">
        <v>-300</v>
      </c>
      <c r="C206">
        <v>300</v>
      </c>
      <c r="D206" t="s">
        <v>1761</v>
      </c>
      <c r="F206" t="s">
        <v>3695</v>
      </c>
      <c r="G206" t="s">
        <v>3849</v>
      </c>
      <c r="H206" t="s">
        <v>3857</v>
      </c>
      <c r="I206">
        <v>0</v>
      </c>
      <c r="J206" t="s">
        <v>3850</v>
      </c>
      <c r="L206" t="s">
        <v>1760</v>
      </c>
      <c r="M206" t="s">
        <v>4199</v>
      </c>
      <c r="N206" t="s">
        <v>3868</v>
      </c>
    </row>
    <row r="207" spans="1:29" x14ac:dyDescent="0.25">
      <c r="A207" t="s">
        <v>3379</v>
      </c>
      <c r="B207">
        <v>-300</v>
      </c>
      <c r="C207">
        <v>300</v>
      </c>
      <c r="D207" t="s">
        <v>1765</v>
      </c>
      <c r="F207" t="s">
        <v>3698</v>
      </c>
      <c r="G207" t="s">
        <v>3849</v>
      </c>
      <c r="H207" t="s">
        <v>3857</v>
      </c>
      <c r="I207">
        <v>0</v>
      </c>
      <c r="J207" t="s">
        <v>3850</v>
      </c>
      <c r="L207" t="s">
        <v>1764</v>
      </c>
      <c r="M207" t="s">
        <v>4211</v>
      </c>
      <c r="N207" t="s">
        <v>3868</v>
      </c>
    </row>
    <row r="208" spans="1:29" x14ac:dyDescent="0.25">
      <c r="A208" t="s">
        <v>3380</v>
      </c>
      <c r="B208">
        <v>-300</v>
      </c>
      <c r="C208">
        <v>300</v>
      </c>
      <c r="D208" t="s">
        <v>1767</v>
      </c>
      <c r="F208" t="s">
        <v>3699</v>
      </c>
      <c r="G208" t="s">
        <v>3849</v>
      </c>
      <c r="H208" t="s">
        <v>3857</v>
      </c>
      <c r="I208">
        <v>0</v>
      </c>
      <c r="J208" t="s">
        <v>3850</v>
      </c>
      <c r="L208" t="s">
        <v>1766</v>
      </c>
      <c r="M208" t="s">
        <v>4217</v>
      </c>
      <c r="N208" t="s">
        <v>3868</v>
      </c>
    </row>
    <row r="209" spans="1:14" x14ac:dyDescent="0.25">
      <c r="A209" t="s">
        <v>3381</v>
      </c>
      <c r="B209">
        <v>-300</v>
      </c>
      <c r="C209">
        <v>300</v>
      </c>
      <c r="D209" t="s">
        <v>1769</v>
      </c>
      <c r="F209" t="s">
        <v>3700</v>
      </c>
      <c r="G209" t="s">
        <v>3849</v>
      </c>
      <c r="H209" t="s">
        <v>3857</v>
      </c>
      <c r="I209">
        <v>0</v>
      </c>
      <c r="J209" t="s">
        <v>3850</v>
      </c>
      <c r="L209" t="s">
        <v>1768</v>
      </c>
      <c r="M209" t="s">
        <v>4248</v>
      </c>
      <c r="N209" t="s">
        <v>3868</v>
      </c>
    </row>
    <row r="210" spans="1:14" x14ac:dyDescent="0.25">
      <c r="A210" t="s">
        <v>3384</v>
      </c>
      <c r="B210">
        <v>-300</v>
      </c>
      <c r="C210">
        <v>300</v>
      </c>
      <c r="D210" t="s">
        <v>1777</v>
      </c>
      <c r="F210" t="s">
        <v>3703</v>
      </c>
      <c r="G210" t="s">
        <v>3849</v>
      </c>
      <c r="H210" t="s">
        <v>3857</v>
      </c>
      <c r="I210">
        <v>0</v>
      </c>
      <c r="J210" t="s">
        <v>3850</v>
      </c>
      <c r="L210" t="s">
        <v>1776</v>
      </c>
      <c r="M210" t="s">
        <v>4270</v>
      </c>
      <c r="N210" t="s">
        <v>3868</v>
      </c>
    </row>
    <row r="211" spans="1:14" x14ac:dyDescent="0.25">
      <c r="A211" t="s">
        <v>3388</v>
      </c>
      <c r="B211">
        <v>-300</v>
      </c>
      <c r="C211">
        <v>300</v>
      </c>
      <c r="D211" t="s">
        <v>3574</v>
      </c>
      <c r="E211" t="s">
        <v>222</v>
      </c>
      <c r="F211" t="s">
        <v>3707</v>
      </c>
      <c r="G211" t="s">
        <v>3849</v>
      </c>
      <c r="I211">
        <v>2</v>
      </c>
      <c r="J211" t="s">
        <v>3850</v>
      </c>
      <c r="L211" t="s">
        <v>1786</v>
      </c>
      <c r="M211" t="s">
        <v>4316</v>
      </c>
      <c r="N211" t="s">
        <v>3868</v>
      </c>
    </row>
    <row r="212" spans="1:14" x14ac:dyDescent="0.25">
      <c r="A212" t="s">
        <v>3395</v>
      </c>
      <c r="B212">
        <v>-300</v>
      </c>
      <c r="C212">
        <v>300</v>
      </c>
      <c r="D212" t="s">
        <v>1797</v>
      </c>
      <c r="F212" t="s">
        <v>3713</v>
      </c>
      <c r="G212" t="s">
        <v>3849</v>
      </c>
      <c r="H212" t="s">
        <v>3857</v>
      </c>
      <c r="I212">
        <v>0</v>
      </c>
      <c r="J212" t="s">
        <v>3850</v>
      </c>
      <c r="L212" t="s">
        <v>1796</v>
      </c>
      <c r="M212" t="s">
        <v>4333</v>
      </c>
      <c r="N212" t="s">
        <v>3868</v>
      </c>
    </row>
    <row r="213" spans="1:14" x14ac:dyDescent="0.25">
      <c r="A213" t="s">
        <v>3404</v>
      </c>
      <c r="B213">
        <v>-300</v>
      </c>
      <c r="C213">
        <v>300</v>
      </c>
      <c r="D213" t="s">
        <v>3580</v>
      </c>
      <c r="E213" t="s">
        <v>3620</v>
      </c>
      <c r="F213" t="s">
        <v>3721</v>
      </c>
      <c r="G213" t="s">
        <v>3849</v>
      </c>
      <c r="I213">
        <v>0</v>
      </c>
      <c r="J213" t="s">
        <v>3850</v>
      </c>
      <c r="L213" t="s">
        <v>1810</v>
      </c>
      <c r="M213" t="s">
        <v>4373</v>
      </c>
      <c r="N213" t="s">
        <v>3868</v>
      </c>
    </row>
    <row r="214" spans="1:14" x14ac:dyDescent="0.25">
      <c r="A214" t="s">
        <v>3417</v>
      </c>
      <c r="B214">
        <v>-300</v>
      </c>
      <c r="C214">
        <v>300</v>
      </c>
      <c r="D214" t="s">
        <v>3584</v>
      </c>
      <c r="E214" t="s">
        <v>222</v>
      </c>
      <c r="F214" t="s">
        <v>3733</v>
      </c>
      <c r="G214" t="s">
        <v>3849</v>
      </c>
      <c r="I214">
        <v>0</v>
      </c>
      <c r="J214" t="s">
        <v>3850</v>
      </c>
      <c r="L214" t="s">
        <v>1828</v>
      </c>
      <c r="M214" t="s">
        <v>4411</v>
      </c>
      <c r="N214" t="s">
        <v>3868</v>
      </c>
    </row>
    <row r="215" spans="1:14" x14ac:dyDescent="0.25">
      <c r="A215" t="s">
        <v>3424</v>
      </c>
      <c r="B215">
        <v>-300</v>
      </c>
      <c r="C215">
        <v>300</v>
      </c>
      <c r="D215" t="s">
        <v>1839</v>
      </c>
      <c r="F215" t="s">
        <v>3739</v>
      </c>
      <c r="G215" t="s">
        <v>3849</v>
      </c>
      <c r="H215" t="s">
        <v>3857</v>
      </c>
      <c r="I215">
        <v>0</v>
      </c>
      <c r="J215" t="s">
        <v>3850</v>
      </c>
      <c r="L215" t="s">
        <v>1838</v>
      </c>
      <c r="M215" t="s">
        <v>4442</v>
      </c>
      <c r="N215" t="s">
        <v>3868</v>
      </c>
    </row>
    <row r="216" spans="1:14" x14ac:dyDescent="0.25">
      <c r="A216" t="s">
        <v>3432</v>
      </c>
      <c r="B216">
        <v>-300</v>
      </c>
      <c r="C216">
        <v>300</v>
      </c>
      <c r="D216" t="s">
        <v>1853</v>
      </c>
      <c r="F216" t="s">
        <v>3746</v>
      </c>
      <c r="G216" t="s">
        <v>3849</v>
      </c>
      <c r="H216" t="s">
        <v>3857</v>
      </c>
      <c r="I216">
        <v>0</v>
      </c>
      <c r="J216" t="s">
        <v>3850</v>
      </c>
      <c r="L216" t="s">
        <v>1852</v>
      </c>
      <c r="M216" t="s">
        <v>4465</v>
      </c>
      <c r="N216" t="s">
        <v>3868</v>
      </c>
    </row>
    <row r="217" spans="1:14" x14ac:dyDescent="0.25">
      <c r="A217" t="s">
        <v>3433</v>
      </c>
      <c r="B217">
        <v>-300</v>
      </c>
      <c r="C217">
        <v>300</v>
      </c>
      <c r="D217" t="s">
        <v>1855</v>
      </c>
      <c r="F217" t="s">
        <v>3747</v>
      </c>
      <c r="G217" t="s">
        <v>3849</v>
      </c>
      <c r="H217" t="s">
        <v>3857</v>
      </c>
      <c r="I217">
        <v>0</v>
      </c>
      <c r="J217" t="s">
        <v>3850</v>
      </c>
      <c r="L217" t="s">
        <v>1854</v>
      </c>
      <c r="M217" t="s">
        <v>4490</v>
      </c>
      <c r="N217" t="s">
        <v>3868</v>
      </c>
    </row>
    <row r="218" spans="1:14" x14ac:dyDescent="0.25">
      <c r="A218" t="s">
        <v>3318</v>
      </c>
      <c r="B218">
        <v>-300</v>
      </c>
      <c r="C218">
        <v>300</v>
      </c>
      <c r="D218" t="s">
        <v>1857</v>
      </c>
      <c r="F218" t="s">
        <v>3642</v>
      </c>
      <c r="G218" t="s">
        <v>3849</v>
      </c>
      <c r="H218" t="s">
        <v>3857</v>
      </c>
      <c r="I218">
        <v>0</v>
      </c>
      <c r="J218" t="s">
        <v>3850</v>
      </c>
      <c r="L218" t="s">
        <v>1856</v>
      </c>
      <c r="M218" t="s">
        <v>4505</v>
      </c>
      <c r="N218" t="s">
        <v>3868</v>
      </c>
    </row>
    <row r="219" spans="1:14" x14ac:dyDescent="0.25">
      <c r="A219" t="s">
        <v>3442</v>
      </c>
      <c r="B219">
        <v>-300</v>
      </c>
      <c r="C219">
        <v>300</v>
      </c>
      <c r="D219" t="s">
        <v>1877</v>
      </c>
      <c r="F219" t="s">
        <v>3756</v>
      </c>
      <c r="G219" t="s">
        <v>3849</v>
      </c>
      <c r="H219" t="s">
        <v>3857</v>
      </c>
      <c r="I219">
        <v>0</v>
      </c>
      <c r="J219" t="s">
        <v>3850</v>
      </c>
      <c r="L219" t="s">
        <v>1876</v>
      </c>
      <c r="M219" t="s">
        <v>4555</v>
      </c>
      <c r="N219" t="s">
        <v>3868</v>
      </c>
    </row>
    <row r="220" spans="1:14" x14ac:dyDescent="0.25">
      <c r="A220" t="s">
        <v>3447</v>
      </c>
      <c r="B220">
        <v>-300</v>
      </c>
      <c r="C220">
        <v>300</v>
      </c>
      <c r="D220" t="s">
        <v>1885</v>
      </c>
      <c r="F220" t="s">
        <v>3760</v>
      </c>
      <c r="G220" t="s">
        <v>3849</v>
      </c>
      <c r="H220" t="s">
        <v>3857</v>
      </c>
      <c r="I220">
        <v>0</v>
      </c>
      <c r="J220" t="s">
        <v>3850</v>
      </c>
      <c r="L220" t="s">
        <v>1884</v>
      </c>
      <c r="M220" t="s">
        <v>4580</v>
      </c>
      <c r="N220" t="s">
        <v>3868</v>
      </c>
    </row>
    <row r="221" spans="1:14" x14ac:dyDescent="0.25">
      <c r="A221" t="s">
        <v>3319</v>
      </c>
      <c r="B221">
        <v>-300</v>
      </c>
      <c r="C221">
        <v>300</v>
      </c>
      <c r="D221" t="s">
        <v>1887</v>
      </c>
      <c r="F221" t="s">
        <v>3643</v>
      </c>
      <c r="G221" t="s">
        <v>3849</v>
      </c>
      <c r="H221" t="s">
        <v>3857</v>
      </c>
      <c r="I221">
        <v>0</v>
      </c>
      <c r="J221" t="s">
        <v>3850</v>
      </c>
      <c r="L221" t="s">
        <v>1886</v>
      </c>
      <c r="M221" t="s">
        <v>4583</v>
      </c>
      <c r="N221" t="s">
        <v>3868</v>
      </c>
    </row>
    <row r="222" spans="1:14" x14ac:dyDescent="0.25">
      <c r="A222" t="s">
        <v>3451</v>
      </c>
      <c r="B222">
        <v>-300</v>
      </c>
      <c r="C222">
        <v>300</v>
      </c>
      <c r="D222" t="s">
        <v>1893</v>
      </c>
      <c r="F222" t="s">
        <v>3763</v>
      </c>
      <c r="G222" t="s">
        <v>3849</v>
      </c>
      <c r="H222" t="s">
        <v>3857</v>
      </c>
      <c r="I222">
        <v>0</v>
      </c>
      <c r="J222" t="s">
        <v>3850</v>
      </c>
      <c r="L222" t="s">
        <v>1892</v>
      </c>
      <c r="M222" t="s">
        <v>4617</v>
      </c>
      <c r="N222" t="s">
        <v>3868</v>
      </c>
    </row>
    <row r="223" spans="1:14" x14ac:dyDescent="0.25">
      <c r="A223" t="s">
        <v>3459</v>
      </c>
      <c r="B223">
        <v>-300</v>
      </c>
      <c r="C223">
        <v>300</v>
      </c>
      <c r="D223" t="s">
        <v>1907</v>
      </c>
      <c r="E223" t="s">
        <v>222</v>
      </c>
      <c r="F223" t="s">
        <v>3769</v>
      </c>
      <c r="G223" t="s">
        <v>3849</v>
      </c>
      <c r="I223">
        <v>0</v>
      </c>
      <c r="J223" t="s">
        <v>3850</v>
      </c>
      <c r="L223" t="s">
        <v>1906</v>
      </c>
      <c r="M223" t="s">
        <v>4649</v>
      </c>
      <c r="N223" t="s">
        <v>3868</v>
      </c>
    </row>
    <row r="224" spans="1:14" x14ac:dyDescent="0.25">
      <c r="A224" t="s">
        <v>3460</v>
      </c>
      <c r="B224">
        <v>-300</v>
      </c>
      <c r="C224">
        <v>300</v>
      </c>
      <c r="D224" t="s">
        <v>1909</v>
      </c>
      <c r="E224" t="s">
        <v>222</v>
      </c>
      <c r="F224" t="s">
        <v>3770</v>
      </c>
      <c r="G224" t="s">
        <v>3849</v>
      </c>
      <c r="I224">
        <v>0</v>
      </c>
      <c r="J224" t="s">
        <v>3850</v>
      </c>
      <c r="L224" t="s">
        <v>1908</v>
      </c>
      <c r="M224" t="s">
        <v>4650</v>
      </c>
      <c r="N224" t="s">
        <v>3868</v>
      </c>
    </row>
    <row r="225" spans="1:14" x14ac:dyDescent="0.25">
      <c r="A225" t="s">
        <v>3461</v>
      </c>
      <c r="B225">
        <v>-300</v>
      </c>
      <c r="C225">
        <v>300</v>
      </c>
      <c r="D225" t="s">
        <v>1911</v>
      </c>
      <c r="E225" t="s">
        <v>222</v>
      </c>
      <c r="F225" t="s">
        <v>3771</v>
      </c>
      <c r="G225" t="s">
        <v>3849</v>
      </c>
      <c r="I225">
        <v>0</v>
      </c>
      <c r="J225" t="s">
        <v>3850</v>
      </c>
      <c r="L225" t="s">
        <v>1910</v>
      </c>
      <c r="M225" t="s">
        <v>4651</v>
      </c>
      <c r="N225" t="s">
        <v>3868</v>
      </c>
    </row>
    <row r="226" spans="1:14" x14ac:dyDescent="0.25">
      <c r="A226" t="s">
        <v>3462</v>
      </c>
      <c r="B226">
        <v>-300</v>
      </c>
      <c r="C226">
        <v>300</v>
      </c>
      <c r="D226" t="s">
        <v>3590</v>
      </c>
      <c r="E226" t="s">
        <v>3623</v>
      </c>
      <c r="F226" t="s">
        <v>3769</v>
      </c>
      <c r="G226" t="s">
        <v>3849</v>
      </c>
      <c r="I226">
        <v>0</v>
      </c>
      <c r="J226" t="s">
        <v>3850</v>
      </c>
      <c r="L226" t="s">
        <v>1912</v>
      </c>
      <c r="M226" t="s">
        <v>4652</v>
      </c>
      <c r="N226" t="s">
        <v>3868</v>
      </c>
    </row>
    <row r="227" spans="1:14" x14ac:dyDescent="0.25">
      <c r="A227" t="s">
        <v>3463</v>
      </c>
      <c r="B227">
        <v>-300</v>
      </c>
      <c r="C227">
        <v>300</v>
      </c>
      <c r="D227" t="s">
        <v>1915</v>
      </c>
      <c r="E227" t="s">
        <v>222</v>
      </c>
      <c r="F227" t="s">
        <v>3772</v>
      </c>
      <c r="G227" t="s">
        <v>3849</v>
      </c>
      <c r="I227">
        <v>0</v>
      </c>
      <c r="J227" t="s">
        <v>3850</v>
      </c>
      <c r="L227" t="s">
        <v>1914</v>
      </c>
      <c r="M227" t="s">
        <v>4653</v>
      </c>
      <c r="N227" t="s">
        <v>3868</v>
      </c>
    </row>
    <row r="228" spans="1:14" x14ac:dyDescent="0.25">
      <c r="A228" t="s">
        <v>3464</v>
      </c>
      <c r="B228">
        <v>-300</v>
      </c>
      <c r="C228">
        <v>300</v>
      </c>
      <c r="D228" t="s">
        <v>1917</v>
      </c>
      <c r="E228" t="s">
        <v>222</v>
      </c>
      <c r="F228" t="s">
        <v>3773</v>
      </c>
      <c r="G228" t="s">
        <v>3849</v>
      </c>
      <c r="I228">
        <v>0</v>
      </c>
      <c r="J228" t="s">
        <v>3850</v>
      </c>
      <c r="L228" t="s">
        <v>1916</v>
      </c>
      <c r="M228" t="s">
        <v>4654</v>
      </c>
      <c r="N228" t="s">
        <v>3868</v>
      </c>
    </row>
    <row r="229" spans="1:14" x14ac:dyDescent="0.25">
      <c r="A229" t="s">
        <v>3468</v>
      </c>
      <c r="B229">
        <v>-300</v>
      </c>
      <c r="C229">
        <v>300</v>
      </c>
      <c r="D229" t="s">
        <v>1923</v>
      </c>
      <c r="F229" t="s">
        <v>3777</v>
      </c>
      <c r="G229" t="s">
        <v>3849</v>
      </c>
      <c r="H229" t="s">
        <v>3857</v>
      </c>
      <c r="I229">
        <v>0</v>
      </c>
      <c r="J229" t="s">
        <v>3850</v>
      </c>
      <c r="L229" t="s">
        <v>1922</v>
      </c>
      <c r="M229" t="s">
        <v>4683</v>
      </c>
      <c r="N229" t="s">
        <v>3868</v>
      </c>
    </row>
    <row r="230" spans="1:14" x14ac:dyDescent="0.25">
      <c r="A230" t="s">
        <v>3469</v>
      </c>
      <c r="B230">
        <v>-300</v>
      </c>
      <c r="C230">
        <v>300</v>
      </c>
      <c r="D230" t="s">
        <v>1925</v>
      </c>
      <c r="E230" t="s">
        <v>222</v>
      </c>
      <c r="F230" t="s">
        <v>3778</v>
      </c>
      <c r="G230" t="s">
        <v>3849</v>
      </c>
      <c r="I230">
        <v>0</v>
      </c>
      <c r="J230" t="s">
        <v>3850</v>
      </c>
      <c r="L230" t="s">
        <v>1924</v>
      </c>
      <c r="M230" t="s">
        <v>4685</v>
      </c>
      <c r="N230" t="s">
        <v>3868</v>
      </c>
    </row>
    <row r="231" spans="1:14" x14ac:dyDescent="0.25">
      <c r="A231" t="s">
        <v>3470</v>
      </c>
      <c r="B231">
        <v>-300</v>
      </c>
      <c r="C231">
        <v>300</v>
      </c>
      <c r="D231" t="s">
        <v>1927</v>
      </c>
      <c r="E231" t="s">
        <v>222</v>
      </c>
      <c r="F231" t="s">
        <v>3779</v>
      </c>
      <c r="G231" t="s">
        <v>3849</v>
      </c>
      <c r="I231">
        <v>0</v>
      </c>
      <c r="J231" t="s">
        <v>3850</v>
      </c>
      <c r="L231" t="s">
        <v>1926</v>
      </c>
      <c r="M231" t="s">
        <v>4688</v>
      </c>
      <c r="N231" t="s">
        <v>3868</v>
      </c>
    </row>
    <row r="232" spans="1:14" x14ac:dyDescent="0.25">
      <c r="A232" t="s">
        <v>3471</v>
      </c>
      <c r="B232">
        <v>-300</v>
      </c>
      <c r="C232">
        <v>300</v>
      </c>
      <c r="D232" t="s">
        <v>3593</v>
      </c>
      <c r="E232" t="s">
        <v>3625</v>
      </c>
      <c r="F232" t="s">
        <v>3780</v>
      </c>
      <c r="G232" t="s">
        <v>3849</v>
      </c>
      <c r="I232">
        <v>0</v>
      </c>
      <c r="J232" t="s">
        <v>3850</v>
      </c>
      <c r="L232" t="s">
        <v>1928</v>
      </c>
      <c r="M232" t="s">
        <v>4711</v>
      </c>
      <c r="N232" t="s">
        <v>3868</v>
      </c>
    </row>
    <row r="233" spans="1:14" x14ac:dyDescent="0.25">
      <c r="A233" t="s">
        <v>3480</v>
      </c>
      <c r="B233">
        <v>-300</v>
      </c>
      <c r="C233">
        <v>300</v>
      </c>
      <c r="D233" t="s">
        <v>1946</v>
      </c>
      <c r="F233" t="s">
        <v>3789</v>
      </c>
      <c r="G233" t="s">
        <v>3849</v>
      </c>
      <c r="H233" t="s">
        <v>3857</v>
      </c>
      <c r="I233">
        <v>0</v>
      </c>
      <c r="J233" t="s">
        <v>3850</v>
      </c>
      <c r="L233" t="s">
        <v>1945</v>
      </c>
      <c r="M233" t="s">
        <v>4775</v>
      </c>
      <c r="N233" t="s">
        <v>3868</v>
      </c>
    </row>
    <row r="234" spans="1:14" x14ac:dyDescent="0.25">
      <c r="A234" t="s">
        <v>3487</v>
      </c>
      <c r="B234">
        <v>-300</v>
      </c>
      <c r="C234">
        <v>300</v>
      </c>
      <c r="D234" t="s">
        <v>1960</v>
      </c>
      <c r="F234" t="s">
        <v>3796</v>
      </c>
      <c r="G234" t="s">
        <v>3849</v>
      </c>
      <c r="H234" t="s">
        <v>3857</v>
      </c>
      <c r="I234">
        <v>0</v>
      </c>
      <c r="J234" t="s">
        <v>3850</v>
      </c>
      <c r="L234" t="s">
        <v>1959</v>
      </c>
      <c r="M234" t="s">
        <v>4883</v>
      </c>
      <c r="N234" t="s">
        <v>3868</v>
      </c>
    </row>
    <row r="235" spans="1:14" x14ac:dyDescent="0.25">
      <c r="A235" t="s">
        <v>3490</v>
      </c>
      <c r="B235">
        <v>-300</v>
      </c>
      <c r="C235">
        <v>300</v>
      </c>
      <c r="D235" t="s">
        <v>1966</v>
      </c>
      <c r="F235" t="s">
        <v>3799</v>
      </c>
      <c r="G235" t="s">
        <v>3849</v>
      </c>
      <c r="H235" t="s">
        <v>3857</v>
      </c>
      <c r="I235">
        <v>0</v>
      </c>
      <c r="J235" t="s">
        <v>3853</v>
      </c>
      <c r="L235" t="s">
        <v>1965</v>
      </c>
      <c r="M235" t="s">
        <v>4899</v>
      </c>
      <c r="N235" t="s">
        <v>3868</v>
      </c>
    </row>
    <row r="236" spans="1:14" x14ac:dyDescent="0.25">
      <c r="A236" t="s">
        <v>3504</v>
      </c>
      <c r="B236">
        <v>-300</v>
      </c>
      <c r="C236">
        <v>300</v>
      </c>
      <c r="D236" t="s">
        <v>1984</v>
      </c>
      <c r="E236" t="s">
        <v>222</v>
      </c>
      <c r="F236" t="s">
        <v>3811</v>
      </c>
      <c r="G236" t="s">
        <v>3849</v>
      </c>
      <c r="I236">
        <v>0</v>
      </c>
      <c r="J236" t="s">
        <v>3850</v>
      </c>
      <c r="L236" t="s">
        <v>1983</v>
      </c>
      <c r="M236" t="s">
        <v>5002</v>
      </c>
      <c r="N236" t="s">
        <v>3868</v>
      </c>
    </row>
    <row r="237" spans="1:14" x14ac:dyDescent="0.25">
      <c r="A237" t="s">
        <v>3505</v>
      </c>
      <c r="B237">
        <v>-300</v>
      </c>
      <c r="C237">
        <v>300</v>
      </c>
      <c r="D237" t="s">
        <v>1986</v>
      </c>
      <c r="F237" t="s">
        <v>3812</v>
      </c>
      <c r="G237" t="s">
        <v>3849</v>
      </c>
      <c r="H237" t="s">
        <v>3857</v>
      </c>
      <c r="I237">
        <v>0</v>
      </c>
      <c r="J237" t="s">
        <v>3850</v>
      </c>
      <c r="L237" t="s">
        <v>1985</v>
      </c>
      <c r="M237" t="s">
        <v>5007</v>
      </c>
      <c r="N237" t="s">
        <v>3868</v>
      </c>
    </row>
    <row r="238" spans="1:14" x14ac:dyDescent="0.25">
      <c r="A238" t="s">
        <v>3506</v>
      </c>
      <c r="B238">
        <v>-300</v>
      </c>
      <c r="C238">
        <v>300</v>
      </c>
      <c r="D238" t="s">
        <v>1988</v>
      </c>
      <c r="E238" t="s">
        <v>3626</v>
      </c>
      <c r="F238" t="s">
        <v>3813</v>
      </c>
      <c r="G238" t="s">
        <v>3849</v>
      </c>
      <c r="I238">
        <v>0</v>
      </c>
      <c r="J238" t="s">
        <v>3850</v>
      </c>
      <c r="L238" t="s">
        <v>1987</v>
      </c>
      <c r="M238" t="s">
        <v>5031</v>
      </c>
      <c r="N238" t="s">
        <v>3868</v>
      </c>
    </row>
    <row r="239" spans="1:14" x14ac:dyDescent="0.25">
      <c r="A239" t="s">
        <v>3510</v>
      </c>
      <c r="B239">
        <v>-300</v>
      </c>
      <c r="C239">
        <v>300</v>
      </c>
      <c r="D239" t="s">
        <v>1994</v>
      </c>
      <c r="E239" t="s">
        <v>222</v>
      </c>
      <c r="F239" t="s">
        <v>3817</v>
      </c>
      <c r="G239" t="s">
        <v>3849</v>
      </c>
      <c r="I239">
        <v>3</v>
      </c>
      <c r="J239" t="s">
        <v>3850</v>
      </c>
      <c r="L239" t="s">
        <v>1993</v>
      </c>
      <c r="M239" t="s">
        <v>5057</v>
      </c>
      <c r="N239" t="s">
        <v>3868</v>
      </c>
    </row>
    <row r="240" spans="1:14" x14ac:dyDescent="0.25">
      <c r="A240" t="s">
        <v>3515</v>
      </c>
      <c r="B240">
        <v>-300</v>
      </c>
      <c r="C240">
        <v>300</v>
      </c>
      <c r="D240" t="s">
        <v>2004</v>
      </c>
      <c r="E240" t="s">
        <v>3627</v>
      </c>
      <c r="F240" t="s">
        <v>3821</v>
      </c>
      <c r="G240" t="s">
        <v>3849</v>
      </c>
      <c r="I240">
        <v>0</v>
      </c>
      <c r="J240" t="s">
        <v>3850</v>
      </c>
      <c r="L240" t="s">
        <v>2003</v>
      </c>
      <c r="M240" t="s">
        <v>5081</v>
      </c>
      <c r="N240" t="s">
        <v>3868</v>
      </c>
    </row>
    <row r="241" spans="1:14" x14ac:dyDescent="0.25">
      <c r="A241" t="s">
        <v>3517</v>
      </c>
      <c r="B241">
        <v>-300</v>
      </c>
      <c r="C241">
        <v>300</v>
      </c>
      <c r="D241" t="s">
        <v>3597</v>
      </c>
      <c r="F241" t="s">
        <v>3823</v>
      </c>
      <c r="G241" t="s">
        <v>3849</v>
      </c>
      <c r="H241" t="s">
        <v>3857</v>
      </c>
      <c r="I241">
        <v>0</v>
      </c>
      <c r="J241" t="s">
        <v>3853</v>
      </c>
      <c r="L241" t="s">
        <v>2007</v>
      </c>
      <c r="M241" t="s">
        <v>5091</v>
      </c>
      <c r="N241" t="s">
        <v>3904</v>
      </c>
    </row>
    <row r="242" spans="1:14" x14ac:dyDescent="0.25">
      <c r="A242" t="s">
        <v>3518</v>
      </c>
      <c r="B242">
        <v>-300</v>
      </c>
      <c r="C242">
        <v>300</v>
      </c>
      <c r="D242" t="s">
        <v>2010</v>
      </c>
      <c r="E242" t="s">
        <v>222</v>
      </c>
      <c r="F242" t="s">
        <v>3824</v>
      </c>
      <c r="G242" t="s">
        <v>3849</v>
      </c>
      <c r="I242">
        <v>0</v>
      </c>
      <c r="J242" t="s">
        <v>3850</v>
      </c>
      <c r="L242" t="s">
        <v>2009</v>
      </c>
      <c r="M242" t="s">
        <v>5094</v>
      </c>
      <c r="N242" t="s">
        <v>3868</v>
      </c>
    </row>
    <row r="243" spans="1:14" x14ac:dyDescent="0.25">
      <c r="A243" t="s">
        <v>3519</v>
      </c>
      <c r="B243">
        <v>-300</v>
      </c>
      <c r="C243">
        <v>300</v>
      </c>
      <c r="D243" t="s">
        <v>2014</v>
      </c>
      <c r="E243" t="s">
        <v>222</v>
      </c>
      <c r="F243" t="s">
        <v>3825</v>
      </c>
      <c r="G243" t="s">
        <v>3849</v>
      </c>
      <c r="I243">
        <v>1</v>
      </c>
      <c r="J243" t="s">
        <v>3850</v>
      </c>
      <c r="L243" t="s">
        <v>2013</v>
      </c>
      <c r="M243" t="s">
        <v>5113</v>
      </c>
      <c r="N243" t="s">
        <v>3868</v>
      </c>
    </row>
    <row r="244" spans="1:14" x14ac:dyDescent="0.25">
      <c r="A244" t="s">
        <v>3525</v>
      </c>
      <c r="B244">
        <v>-300</v>
      </c>
      <c r="C244">
        <v>300</v>
      </c>
      <c r="D244" t="s">
        <v>2030</v>
      </c>
      <c r="F244" t="s">
        <v>3830</v>
      </c>
      <c r="G244" t="s">
        <v>3849</v>
      </c>
      <c r="H244" t="s">
        <v>3857</v>
      </c>
      <c r="I244">
        <v>0</v>
      </c>
      <c r="J244" t="s">
        <v>3850</v>
      </c>
      <c r="L244" t="s">
        <v>2029</v>
      </c>
      <c r="M244" t="s">
        <v>5167</v>
      </c>
      <c r="N244" t="s">
        <v>3868</v>
      </c>
    </row>
    <row r="245" spans="1:14" x14ac:dyDescent="0.25">
      <c r="A245" t="s">
        <v>3526</v>
      </c>
      <c r="B245">
        <v>-300</v>
      </c>
      <c r="C245">
        <v>300</v>
      </c>
      <c r="D245" t="s">
        <v>2032</v>
      </c>
      <c r="E245" t="s">
        <v>222</v>
      </c>
      <c r="F245" t="s">
        <v>3831</v>
      </c>
      <c r="G245" t="s">
        <v>3849</v>
      </c>
      <c r="I245">
        <v>-2</v>
      </c>
      <c r="J245" t="s">
        <v>3850</v>
      </c>
      <c r="L245" t="s">
        <v>2031</v>
      </c>
      <c r="M245" t="s">
        <v>5170</v>
      </c>
      <c r="N245" t="s">
        <v>3868</v>
      </c>
    </row>
    <row r="246" spans="1:14" x14ac:dyDescent="0.25">
      <c r="A246" t="s">
        <v>3529</v>
      </c>
      <c r="B246">
        <v>-300</v>
      </c>
      <c r="C246">
        <v>300</v>
      </c>
      <c r="D246" t="s">
        <v>2036</v>
      </c>
      <c r="F246" t="s">
        <v>3834</v>
      </c>
      <c r="G246" t="s">
        <v>3849</v>
      </c>
      <c r="H246" t="s">
        <v>3857</v>
      </c>
      <c r="I246">
        <v>0</v>
      </c>
      <c r="J246" t="s">
        <v>3850</v>
      </c>
      <c r="L246" t="s">
        <v>2035</v>
      </c>
      <c r="M246" t="s">
        <v>5172</v>
      </c>
      <c r="N246" t="s">
        <v>3868</v>
      </c>
    </row>
    <row r="247" spans="1:14" x14ac:dyDescent="0.25">
      <c r="A247" t="s">
        <v>3328</v>
      </c>
      <c r="B247">
        <v>-300</v>
      </c>
      <c r="C247">
        <v>300</v>
      </c>
      <c r="D247" t="s">
        <v>2038</v>
      </c>
      <c r="F247" t="s">
        <v>3652</v>
      </c>
      <c r="G247" t="s">
        <v>3849</v>
      </c>
      <c r="H247" t="s">
        <v>3857</v>
      </c>
      <c r="I247">
        <v>0</v>
      </c>
      <c r="J247" t="s">
        <v>3850</v>
      </c>
      <c r="L247" t="s">
        <v>2037</v>
      </c>
      <c r="M247" t="s">
        <v>5220</v>
      </c>
      <c r="N247" t="s">
        <v>3868</v>
      </c>
    </row>
    <row r="248" spans="1:14" x14ac:dyDescent="0.25">
      <c r="A248" t="s">
        <v>3530</v>
      </c>
      <c r="B248">
        <v>-300</v>
      </c>
      <c r="C248">
        <v>300</v>
      </c>
      <c r="D248" t="s">
        <v>2040</v>
      </c>
      <c r="F248" t="s">
        <v>3835</v>
      </c>
      <c r="G248" t="s">
        <v>3849</v>
      </c>
      <c r="H248" t="s">
        <v>3857</v>
      </c>
      <c r="I248">
        <v>0</v>
      </c>
      <c r="J248" t="s">
        <v>3850</v>
      </c>
      <c r="L248" t="s">
        <v>2039</v>
      </c>
      <c r="M248" t="s">
        <v>5223</v>
      </c>
      <c r="N248" t="s">
        <v>3868</v>
      </c>
    </row>
    <row r="249" spans="1:14" x14ac:dyDescent="0.25">
      <c r="A249" t="s">
        <v>3331</v>
      </c>
      <c r="B249">
        <v>-300</v>
      </c>
      <c r="C249">
        <v>300</v>
      </c>
      <c r="D249" t="s">
        <v>2048</v>
      </c>
      <c r="F249" t="s">
        <v>3655</v>
      </c>
      <c r="G249" t="s">
        <v>3849</v>
      </c>
      <c r="H249" t="s">
        <v>3857</v>
      </c>
      <c r="I249">
        <v>0</v>
      </c>
      <c r="J249" t="s">
        <v>3850</v>
      </c>
      <c r="L249" t="s">
        <v>2047</v>
      </c>
      <c r="M249" t="s">
        <v>5237</v>
      </c>
      <c r="N249" t="s">
        <v>3868</v>
      </c>
    </row>
    <row r="250" spans="1:14" x14ac:dyDescent="0.25">
      <c r="A250" t="s">
        <v>3533</v>
      </c>
      <c r="B250">
        <v>-300</v>
      </c>
      <c r="C250">
        <v>300</v>
      </c>
      <c r="D250" t="s">
        <v>2050</v>
      </c>
      <c r="F250" t="s">
        <v>3837</v>
      </c>
      <c r="G250" t="s">
        <v>3849</v>
      </c>
      <c r="H250" t="s">
        <v>3857</v>
      </c>
      <c r="I250">
        <v>0</v>
      </c>
      <c r="J250" t="s">
        <v>3850</v>
      </c>
      <c r="L250" t="s">
        <v>2049</v>
      </c>
      <c r="M250" t="s">
        <v>5242</v>
      </c>
      <c r="N250" t="s">
        <v>3868</v>
      </c>
    </row>
  </sheetData>
  <sortState ref="A2:N249">
    <sortCondition sortBy="cellColor" ref="A2:A249" dxfId="24"/>
  </sortState>
  <conditionalFormatting sqref="O154:O191">
    <cfRule type="duplicateValues" dxfId="23" priority="13"/>
  </conditionalFormatting>
  <conditionalFormatting sqref="X207:X211 X2:X111 X113:X157 X159:X205">
    <cfRule type="duplicateValues" dxfId="22" priority="12"/>
  </conditionalFormatting>
  <conditionalFormatting sqref="W207:W211 W2:W157 W159:W205">
    <cfRule type="duplicateValues" dxfId="21" priority="11"/>
  </conditionalFormatting>
  <conditionalFormatting sqref="P1:P1048576">
    <cfRule type="duplicateValues" dxfId="20" priority="10"/>
  </conditionalFormatting>
  <conditionalFormatting sqref="P1:P1048576 A192:A1048576">
    <cfRule type="duplicateValues" dxfId="19" priority="9"/>
  </conditionalFormatting>
  <conditionalFormatting sqref="O2:O153">
    <cfRule type="duplicateValues" dxfId="18" priority="39"/>
  </conditionalFormatting>
  <conditionalFormatting sqref="A1:A191">
    <cfRule type="duplicateValues" dxfId="17" priority="5"/>
  </conditionalFormatting>
  <conditionalFormatting sqref="L193 L1:L4 L6:L55 L57:L130 L132:L191">
    <cfRule type="duplicateValues" dxfId="16" priority="6"/>
  </conditionalFormatting>
  <conditionalFormatting sqref="L193 L2:L4 L6:L55 L132:L141 L57:L130">
    <cfRule type="duplicateValues" dxfId="15" priority="7"/>
  </conditionalFormatting>
  <conditionalFormatting sqref="L142:L191">
    <cfRule type="duplicateValues" dxfId="14" priority="8"/>
  </conditionalFormatting>
  <conditionalFormatting sqref="L193 L1:L4 L6:L191">
    <cfRule type="duplicateValues" dxfId="13" priority="4"/>
  </conditionalFormatting>
  <conditionalFormatting sqref="L192 Y194:Y206 L5 L194:L250">
    <cfRule type="duplicateValues" dxfId="12" priority="203" stopIfTrue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3"/>
  <sheetViews>
    <sheetView topLeftCell="A70" workbookViewId="0">
      <selection activeCell="F37" sqref="F37"/>
    </sheetView>
  </sheetViews>
  <sheetFormatPr defaultColWidth="9.140625" defaultRowHeight="15" x14ac:dyDescent="0.25"/>
  <cols>
    <col min="1" max="1" width="13.5703125" customWidth="1"/>
    <col min="2" max="2" width="16.7109375" style="9" bestFit="1" customWidth="1"/>
    <col min="3" max="3" width="16.7109375" bestFit="1" customWidth="1"/>
    <col min="4" max="4" width="46.7109375" style="9" customWidth="1"/>
    <col min="5" max="5" width="41.5703125" customWidth="1"/>
    <col min="6" max="6" width="38.42578125" customWidth="1"/>
    <col min="7" max="7" width="18.140625" style="9" bestFit="1" customWidth="1"/>
    <col min="8" max="8" width="18.140625" customWidth="1"/>
    <col min="9" max="9" width="71.7109375" style="5" bestFit="1" customWidth="1"/>
    <col min="10" max="10" width="68.140625" style="5" bestFit="1" customWidth="1"/>
    <col min="11" max="11" width="22.85546875" style="5" customWidth="1"/>
    <col min="12" max="12" width="8.140625" style="5" customWidth="1"/>
    <col min="13" max="13" width="9.140625" style="5" customWidth="1"/>
  </cols>
  <sheetData>
    <row r="1" spans="1:16" s="15" customFormat="1" ht="15.75" thickBot="1" x14ac:dyDescent="0.3">
      <c r="A1" s="15" t="s">
        <v>4</v>
      </c>
      <c r="B1" s="16" t="s">
        <v>5</v>
      </c>
      <c r="C1" s="15" t="s">
        <v>6</v>
      </c>
      <c r="D1" s="16" t="s">
        <v>7</v>
      </c>
      <c r="E1" s="15" t="s">
        <v>1679</v>
      </c>
      <c r="F1" s="15" t="s">
        <v>1680</v>
      </c>
      <c r="G1" s="16" t="s">
        <v>1681</v>
      </c>
      <c r="I1" s="33" t="s">
        <v>3863</v>
      </c>
      <c r="J1" s="38" t="s">
        <v>6691</v>
      </c>
      <c r="K1" s="38" t="s">
        <v>3864</v>
      </c>
      <c r="L1" s="38" t="s">
        <v>6692</v>
      </c>
      <c r="M1" s="38" t="s">
        <v>6693</v>
      </c>
    </row>
    <row r="2" spans="1:16" x14ac:dyDescent="0.25">
      <c r="A2" t="s">
        <v>1682</v>
      </c>
      <c r="B2" s="9">
        <v>-300</v>
      </c>
      <c r="C2">
        <v>300</v>
      </c>
      <c r="D2" s="9" t="s">
        <v>1683</v>
      </c>
      <c r="F2" t="s">
        <v>3656</v>
      </c>
      <c r="G2" s="9" t="s">
        <v>3849</v>
      </c>
      <c r="I2" s="5" t="s">
        <v>3867</v>
      </c>
      <c r="J2" s="5" t="s">
        <v>6424</v>
      </c>
      <c r="K2" s="5" t="s">
        <v>3868</v>
      </c>
      <c r="M2" s="6">
        <v>125</v>
      </c>
      <c r="O2" s="25"/>
    </row>
    <row r="3" spans="1:16" x14ac:dyDescent="0.25">
      <c r="A3" t="s">
        <v>1684</v>
      </c>
      <c r="B3" s="9">
        <v>-300</v>
      </c>
      <c r="C3">
        <v>300</v>
      </c>
      <c r="D3" s="9" t="s">
        <v>1685</v>
      </c>
      <c r="F3" t="s">
        <v>3657</v>
      </c>
      <c r="G3" s="9" t="s">
        <v>3849</v>
      </c>
      <c r="I3" s="5" t="s">
        <v>3898</v>
      </c>
      <c r="J3" s="5" t="s">
        <v>6425</v>
      </c>
      <c r="K3" s="5" t="s">
        <v>3868</v>
      </c>
      <c r="M3" s="6"/>
      <c r="N3" s="5"/>
      <c r="O3" s="25"/>
      <c r="P3" s="25"/>
    </row>
    <row r="4" spans="1:16" x14ac:dyDescent="0.25">
      <c r="A4" t="s">
        <v>1686</v>
      </c>
      <c r="B4" s="9">
        <v>-300</v>
      </c>
      <c r="C4">
        <v>300</v>
      </c>
      <c r="D4" s="9" t="s">
        <v>1687</v>
      </c>
      <c r="F4" t="s">
        <v>3659</v>
      </c>
      <c r="G4" s="9" t="s">
        <v>3849</v>
      </c>
      <c r="I4" s="5" t="s">
        <v>3903</v>
      </c>
      <c r="J4" s="5" t="s">
        <v>6426</v>
      </c>
      <c r="K4" s="5" t="s">
        <v>3904</v>
      </c>
      <c r="M4" s="6"/>
      <c r="N4" s="5"/>
      <c r="O4" s="25"/>
      <c r="P4" s="25"/>
    </row>
    <row r="5" spans="1:16" x14ac:dyDescent="0.25">
      <c r="A5" t="s">
        <v>1688</v>
      </c>
      <c r="B5" s="9">
        <v>-300</v>
      </c>
      <c r="C5">
        <v>300</v>
      </c>
      <c r="D5" s="9" t="s">
        <v>1689</v>
      </c>
      <c r="F5" t="s">
        <v>3660</v>
      </c>
      <c r="G5" s="9" t="s">
        <v>3849</v>
      </c>
      <c r="I5" s="5" t="s">
        <v>3907</v>
      </c>
      <c r="J5" s="5" t="s">
        <v>6427</v>
      </c>
      <c r="K5" s="5" t="s">
        <v>3868</v>
      </c>
      <c r="M5" s="6"/>
      <c r="O5" s="25"/>
    </row>
    <row r="6" spans="1:16" x14ac:dyDescent="0.25">
      <c r="A6" t="s">
        <v>1690</v>
      </c>
      <c r="B6" s="9">
        <v>-300</v>
      </c>
      <c r="C6">
        <v>300</v>
      </c>
      <c r="D6" s="9" t="s">
        <v>3558</v>
      </c>
      <c r="E6" t="s">
        <v>3616</v>
      </c>
      <c r="F6" t="s">
        <v>3661</v>
      </c>
      <c r="G6" s="9" t="s">
        <v>3849</v>
      </c>
      <c r="I6" s="5" t="s">
        <v>3914</v>
      </c>
      <c r="J6" s="5" t="s">
        <v>6428</v>
      </c>
      <c r="K6" s="5" t="s">
        <v>3868</v>
      </c>
      <c r="M6" s="6">
        <v>132</v>
      </c>
      <c r="O6" s="25"/>
    </row>
    <row r="7" spans="1:16" x14ac:dyDescent="0.25">
      <c r="A7" t="s">
        <v>1692</v>
      </c>
      <c r="B7" s="9">
        <v>-300</v>
      </c>
      <c r="C7">
        <v>300</v>
      </c>
      <c r="D7" s="9" t="s">
        <v>3559</v>
      </c>
      <c r="E7" t="s">
        <v>3617</v>
      </c>
      <c r="F7" t="s">
        <v>3662</v>
      </c>
      <c r="G7" s="9" t="s">
        <v>3849</v>
      </c>
      <c r="I7" s="5" t="s">
        <v>3927</v>
      </c>
      <c r="J7" s="5" t="s">
        <v>6429</v>
      </c>
      <c r="K7" s="5" t="s">
        <v>3868</v>
      </c>
      <c r="M7" s="6">
        <v>84</v>
      </c>
      <c r="N7" s="5"/>
      <c r="O7" s="25"/>
    </row>
    <row r="8" spans="1:16" x14ac:dyDescent="0.25">
      <c r="A8" t="s">
        <v>1694</v>
      </c>
      <c r="B8" s="9">
        <v>-300</v>
      </c>
      <c r="C8">
        <v>300</v>
      </c>
      <c r="D8" s="9" t="s">
        <v>1695</v>
      </c>
      <c r="F8" t="s">
        <v>3664</v>
      </c>
      <c r="G8" s="9" t="s">
        <v>3849</v>
      </c>
      <c r="I8" s="5" t="s">
        <v>3928</v>
      </c>
      <c r="J8" s="5" t="s">
        <v>6430</v>
      </c>
      <c r="K8" s="5" t="s">
        <v>3868</v>
      </c>
      <c r="M8" s="6"/>
      <c r="N8" s="5"/>
      <c r="O8" s="25"/>
    </row>
    <row r="9" spans="1:16" x14ac:dyDescent="0.25">
      <c r="A9" t="s">
        <v>1696</v>
      </c>
      <c r="B9" s="9">
        <v>-300</v>
      </c>
      <c r="C9">
        <v>300</v>
      </c>
      <c r="D9" s="9" t="s">
        <v>1697</v>
      </c>
      <c r="F9" t="s">
        <v>3666</v>
      </c>
      <c r="G9" s="9" t="s">
        <v>3849</v>
      </c>
      <c r="I9" s="5" t="s">
        <v>3947</v>
      </c>
      <c r="J9" s="5" t="s">
        <v>6431</v>
      </c>
      <c r="K9" s="5" t="s">
        <v>3868</v>
      </c>
      <c r="M9" s="6"/>
      <c r="N9" s="5"/>
    </row>
    <row r="10" spans="1:16" x14ac:dyDescent="0.25">
      <c r="A10" t="s">
        <v>1698</v>
      </c>
      <c r="B10" s="9">
        <v>-300</v>
      </c>
      <c r="C10">
        <v>300</v>
      </c>
      <c r="D10" s="9" t="s">
        <v>1699</v>
      </c>
      <c r="F10" t="s">
        <v>3667</v>
      </c>
      <c r="G10" s="9" t="s">
        <v>3849</v>
      </c>
      <c r="I10" s="5" t="s">
        <v>3955</v>
      </c>
      <c r="J10" s="5" t="s">
        <v>6432</v>
      </c>
      <c r="K10" s="5" t="s">
        <v>3868</v>
      </c>
      <c r="M10" s="6"/>
      <c r="N10" s="5"/>
    </row>
    <row r="11" spans="1:16" x14ac:dyDescent="0.25">
      <c r="A11" t="s">
        <v>1700</v>
      </c>
      <c r="B11" s="9">
        <v>-300</v>
      </c>
      <c r="C11">
        <v>300</v>
      </c>
      <c r="D11" s="9" t="s">
        <v>1701</v>
      </c>
      <c r="F11" t="s">
        <v>3636</v>
      </c>
      <c r="G11" s="9" t="s">
        <v>3849</v>
      </c>
      <c r="I11" s="5" t="s">
        <v>3968</v>
      </c>
      <c r="J11" s="5" t="s">
        <v>6433</v>
      </c>
      <c r="K11" s="5" t="s">
        <v>3868</v>
      </c>
      <c r="M11" s="6"/>
      <c r="O11" s="25"/>
    </row>
    <row r="12" spans="1:16" x14ac:dyDescent="0.25">
      <c r="A12" t="s">
        <v>1702</v>
      </c>
      <c r="B12" s="9">
        <v>-300</v>
      </c>
      <c r="C12">
        <v>300</v>
      </c>
      <c r="D12" s="9" t="s">
        <v>1703</v>
      </c>
      <c r="F12" t="s">
        <v>3669</v>
      </c>
      <c r="G12" s="9" t="s">
        <v>3849</v>
      </c>
      <c r="I12" s="5" t="s">
        <v>3999</v>
      </c>
      <c r="J12" s="5" t="s">
        <v>6436</v>
      </c>
      <c r="K12" s="5" t="s">
        <v>3868</v>
      </c>
      <c r="M12" s="6"/>
      <c r="N12" s="5"/>
    </row>
    <row r="13" spans="1:16" x14ac:dyDescent="0.25">
      <c r="A13" t="s">
        <v>1704</v>
      </c>
      <c r="B13" s="9">
        <v>-300</v>
      </c>
      <c r="C13">
        <v>300</v>
      </c>
      <c r="D13" s="9" t="s">
        <v>6634</v>
      </c>
      <c r="E13" t="s">
        <v>6635</v>
      </c>
      <c r="F13" t="s">
        <v>3670</v>
      </c>
      <c r="G13" s="9" t="s">
        <v>3849</v>
      </c>
      <c r="I13" s="5" t="s">
        <v>4000</v>
      </c>
      <c r="J13" s="5" t="s">
        <v>6437</v>
      </c>
      <c r="K13" s="5" t="s">
        <v>3868</v>
      </c>
      <c r="M13" s="6">
        <v>93</v>
      </c>
      <c r="N13" s="5"/>
    </row>
    <row r="14" spans="1:16" x14ac:dyDescent="0.25">
      <c r="A14" t="s">
        <v>4006</v>
      </c>
      <c r="B14" s="9">
        <v>-300</v>
      </c>
      <c r="C14">
        <v>300</v>
      </c>
      <c r="D14" s="9" t="s">
        <v>1707</v>
      </c>
      <c r="F14" t="s">
        <v>3670</v>
      </c>
      <c r="G14" s="9" t="s">
        <v>3849</v>
      </c>
      <c r="I14" s="5" t="s">
        <v>6439</v>
      </c>
      <c r="J14" s="5" t="s">
        <v>6438</v>
      </c>
      <c r="K14" s="5" t="s">
        <v>4004</v>
      </c>
      <c r="L14" s="5" t="s">
        <v>4005</v>
      </c>
      <c r="M14" s="6"/>
      <c r="N14" s="5"/>
      <c r="O14" s="25"/>
      <c r="P14" s="25"/>
    </row>
    <row r="15" spans="1:16" x14ac:dyDescent="0.25">
      <c r="A15" t="s">
        <v>1706</v>
      </c>
      <c r="B15" s="9">
        <v>-300</v>
      </c>
      <c r="C15">
        <v>300</v>
      </c>
      <c r="G15" s="9" t="s">
        <v>3849</v>
      </c>
      <c r="I15" s="5" t="s">
        <v>4007</v>
      </c>
      <c r="J15" s="5" t="s">
        <v>6440</v>
      </c>
      <c r="K15" s="5" t="s">
        <v>3904</v>
      </c>
      <c r="M15" s="6">
        <v>93</v>
      </c>
      <c r="N15" s="5"/>
      <c r="O15" s="25"/>
    </row>
    <row r="16" spans="1:16" x14ac:dyDescent="0.25">
      <c r="A16" t="s">
        <v>1708</v>
      </c>
      <c r="B16" s="9">
        <v>-300</v>
      </c>
      <c r="C16">
        <v>300</v>
      </c>
      <c r="D16" s="9" t="s">
        <v>1709</v>
      </c>
      <c r="F16" t="s">
        <v>3671</v>
      </c>
      <c r="G16" s="9" t="s">
        <v>3849</v>
      </c>
      <c r="I16" s="5" t="s">
        <v>4024</v>
      </c>
      <c r="J16" s="5" t="s">
        <v>6441</v>
      </c>
      <c r="K16" s="5" t="s">
        <v>3904</v>
      </c>
      <c r="M16" s="6"/>
      <c r="O16" s="25"/>
    </row>
    <row r="17" spans="1:16" x14ac:dyDescent="0.25">
      <c r="A17" t="s">
        <v>1710</v>
      </c>
      <c r="B17" s="9">
        <v>-300</v>
      </c>
      <c r="C17">
        <v>300</v>
      </c>
      <c r="D17" s="9" t="s">
        <v>6636</v>
      </c>
      <c r="E17" t="s">
        <v>6635</v>
      </c>
      <c r="F17" t="s">
        <v>3672</v>
      </c>
      <c r="G17" s="9" t="s">
        <v>3849</v>
      </c>
      <c r="I17" s="5" t="s">
        <v>4056</v>
      </c>
      <c r="J17" s="5" t="s">
        <v>6442</v>
      </c>
      <c r="K17" s="5" t="s">
        <v>3868</v>
      </c>
      <c r="M17" s="6"/>
      <c r="N17" s="5"/>
      <c r="O17" s="25"/>
    </row>
    <row r="18" spans="1:16" x14ac:dyDescent="0.25">
      <c r="A18" t="s">
        <v>1712</v>
      </c>
      <c r="B18" s="9">
        <v>-300</v>
      </c>
      <c r="C18">
        <v>300</v>
      </c>
      <c r="D18" s="9" t="s">
        <v>1713</v>
      </c>
      <c r="F18" t="s">
        <v>3672</v>
      </c>
      <c r="G18" s="9" t="s">
        <v>3849</v>
      </c>
      <c r="I18" s="5" t="s">
        <v>4057</v>
      </c>
      <c r="J18" s="5" t="s">
        <v>6443</v>
      </c>
      <c r="K18" s="5" t="s">
        <v>3868</v>
      </c>
      <c r="M18" s="6"/>
      <c r="N18" s="5"/>
      <c r="O18" s="25"/>
    </row>
    <row r="19" spans="1:16" x14ac:dyDescent="0.25">
      <c r="A19" t="s">
        <v>1714</v>
      </c>
      <c r="B19" s="9">
        <v>-300</v>
      </c>
      <c r="C19">
        <v>300</v>
      </c>
      <c r="D19" s="9" t="s">
        <v>6637</v>
      </c>
      <c r="E19" t="s">
        <v>6635</v>
      </c>
      <c r="F19" t="s">
        <v>3673</v>
      </c>
      <c r="G19" s="9" t="s">
        <v>3849</v>
      </c>
      <c r="I19" s="5" t="s">
        <v>4058</v>
      </c>
      <c r="J19" s="5" t="s">
        <v>6444</v>
      </c>
      <c r="K19" s="5" t="s">
        <v>3868</v>
      </c>
      <c r="M19" s="6"/>
      <c r="N19" s="5"/>
      <c r="O19" s="25"/>
    </row>
    <row r="20" spans="1:16" x14ac:dyDescent="0.25">
      <c r="A20" t="s">
        <v>1716</v>
      </c>
      <c r="B20" s="9">
        <v>-300</v>
      </c>
      <c r="C20">
        <v>300</v>
      </c>
      <c r="D20" s="9" t="s">
        <v>3563</v>
      </c>
      <c r="F20" t="s">
        <v>3674</v>
      </c>
      <c r="G20" s="9" t="s">
        <v>3849</v>
      </c>
      <c r="I20" s="5" t="s">
        <v>4061</v>
      </c>
      <c r="J20" s="5" t="s">
        <v>6445</v>
      </c>
      <c r="K20" s="5" t="s">
        <v>3904</v>
      </c>
      <c r="M20" s="6"/>
      <c r="N20" s="5"/>
      <c r="O20" s="25"/>
    </row>
    <row r="21" spans="1:16" x14ac:dyDescent="0.25">
      <c r="A21" t="s">
        <v>1718</v>
      </c>
      <c r="B21" s="9">
        <v>-300</v>
      </c>
      <c r="C21">
        <v>300</v>
      </c>
      <c r="D21" s="9" t="s">
        <v>6638</v>
      </c>
      <c r="E21" t="s">
        <v>6635</v>
      </c>
      <c r="F21" t="s">
        <v>3675</v>
      </c>
      <c r="G21" s="9" t="s">
        <v>3849</v>
      </c>
      <c r="I21" s="5" t="s">
        <v>4069</v>
      </c>
      <c r="J21" s="5" t="s">
        <v>6446</v>
      </c>
      <c r="K21" s="5" t="s">
        <v>3868</v>
      </c>
      <c r="M21" s="6"/>
      <c r="N21" s="5"/>
      <c r="O21" s="25"/>
    </row>
    <row r="22" spans="1:16" x14ac:dyDescent="0.25">
      <c r="A22" t="s">
        <v>1720</v>
      </c>
      <c r="B22" s="9">
        <v>-300</v>
      </c>
      <c r="C22">
        <v>300</v>
      </c>
      <c r="D22" s="9" t="s">
        <v>1721</v>
      </c>
      <c r="F22" t="s">
        <v>3675</v>
      </c>
      <c r="G22" s="9" t="s">
        <v>3849</v>
      </c>
      <c r="I22" s="5" t="s">
        <v>4076</v>
      </c>
      <c r="J22" s="5" t="s">
        <v>6447</v>
      </c>
      <c r="K22" s="5" t="s">
        <v>3868</v>
      </c>
      <c r="M22" s="6"/>
      <c r="N22" s="5"/>
      <c r="O22" s="25"/>
    </row>
    <row r="23" spans="1:16" x14ac:dyDescent="0.25">
      <c r="A23" t="s">
        <v>1722</v>
      </c>
      <c r="B23" s="9">
        <v>-300</v>
      </c>
      <c r="C23">
        <v>300</v>
      </c>
      <c r="D23" s="9" t="s">
        <v>6639</v>
      </c>
      <c r="E23" t="s">
        <v>6635</v>
      </c>
      <c r="F23" t="s">
        <v>3637</v>
      </c>
      <c r="G23" s="9" t="s">
        <v>3849</v>
      </c>
      <c r="I23" s="5" t="s">
        <v>4079</v>
      </c>
      <c r="J23" s="5" t="s">
        <v>6448</v>
      </c>
      <c r="K23" s="5" t="s">
        <v>3868</v>
      </c>
      <c r="M23" s="6"/>
      <c r="N23" s="5"/>
      <c r="O23" s="25"/>
    </row>
    <row r="24" spans="1:16" x14ac:dyDescent="0.25">
      <c r="A24" t="s">
        <v>1724</v>
      </c>
      <c r="B24" s="9">
        <v>-300</v>
      </c>
      <c r="C24">
        <v>300</v>
      </c>
      <c r="D24" s="9" t="s">
        <v>1725</v>
      </c>
      <c r="F24" t="s">
        <v>3638</v>
      </c>
      <c r="G24" s="9" t="s">
        <v>3849</v>
      </c>
      <c r="I24" s="5" t="s">
        <v>4087</v>
      </c>
      <c r="J24" s="5" t="s">
        <v>6449</v>
      </c>
      <c r="K24" s="5" t="s">
        <v>3868</v>
      </c>
      <c r="M24" s="6"/>
      <c r="N24" s="5"/>
      <c r="O24" s="25"/>
    </row>
    <row r="25" spans="1:16" x14ac:dyDescent="0.25">
      <c r="A25" t="s">
        <v>6450</v>
      </c>
      <c r="B25" s="9">
        <v>-300</v>
      </c>
      <c r="C25">
        <v>300</v>
      </c>
      <c r="G25" s="9" t="s">
        <v>3849</v>
      </c>
      <c r="I25" s="5" t="s">
        <v>6451</v>
      </c>
      <c r="J25" s="5" t="s">
        <v>6452</v>
      </c>
      <c r="K25" s="5" t="s">
        <v>3868</v>
      </c>
      <c r="M25" s="6">
        <v>53</v>
      </c>
      <c r="N25" s="5"/>
    </row>
    <row r="26" spans="1:16" x14ac:dyDescent="0.25">
      <c r="A26" t="s">
        <v>6453</v>
      </c>
      <c r="B26" s="9">
        <v>-300</v>
      </c>
      <c r="C26">
        <v>300</v>
      </c>
      <c r="G26" s="9" t="s">
        <v>3849</v>
      </c>
      <c r="I26" s="5" t="s">
        <v>6454</v>
      </c>
      <c r="J26" s="5" t="s">
        <v>6455</v>
      </c>
      <c r="K26" s="5" t="s">
        <v>3868</v>
      </c>
      <c r="M26" s="6">
        <v>53</v>
      </c>
      <c r="N26" s="5"/>
      <c r="O26" s="25"/>
    </row>
    <row r="27" spans="1:16" x14ac:dyDescent="0.25">
      <c r="A27" t="s">
        <v>1726</v>
      </c>
      <c r="B27" s="9">
        <v>-300</v>
      </c>
      <c r="C27">
        <v>300</v>
      </c>
      <c r="D27" s="9" t="s">
        <v>3610</v>
      </c>
      <c r="E27" t="s">
        <v>3610</v>
      </c>
      <c r="F27" t="s">
        <v>3844</v>
      </c>
      <c r="G27" s="9" t="s">
        <v>3849</v>
      </c>
      <c r="I27" s="5" t="s">
        <v>4096</v>
      </c>
      <c r="J27" s="5" t="s">
        <v>6456</v>
      </c>
      <c r="K27" s="5" t="s">
        <v>4097</v>
      </c>
      <c r="L27" s="5" t="s">
        <v>6457</v>
      </c>
      <c r="M27" s="6"/>
      <c r="N27" s="5"/>
      <c r="O27" s="25"/>
    </row>
    <row r="28" spans="1:16" x14ac:dyDescent="0.25">
      <c r="A28" t="s">
        <v>1728</v>
      </c>
      <c r="B28" s="9">
        <v>-300</v>
      </c>
      <c r="C28">
        <v>300</v>
      </c>
      <c r="D28" s="9" t="s">
        <v>1729</v>
      </c>
      <c r="F28" t="s">
        <v>3677</v>
      </c>
      <c r="G28" s="9" t="s">
        <v>3849</v>
      </c>
      <c r="I28" s="5" t="s">
        <v>4107</v>
      </c>
      <c r="J28" s="5" t="s">
        <v>6458</v>
      </c>
      <c r="K28" s="5" t="s">
        <v>3904</v>
      </c>
      <c r="M28" s="6"/>
      <c r="N28" s="5"/>
    </row>
    <row r="29" spans="1:16" x14ac:dyDescent="0.25">
      <c r="A29" t="s">
        <v>1730</v>
      </c>
      <c r="B29" s="9">
        <v>-300</v>
      </c>
      <c r="C29">
        <v>300</v>
      </c>
      <c r="D29" s="9" t="s">
        <v>3566</v>
      </c>
      <c r="F29" t="s">
        <v>3679</v>
      </c>
      <c r="G29" s="9" t="s">
        <v>3849</v>
      </c>
      <c r="I29" s="5" t="s">
        <v>4114</v>
      </c>
      <c r="J29" s="5" t="s">
        <v>6459</v>
      </c>
      <c r="K29" s="5" t="s">
        <v>3868</v>
      </c>
      <c r="M29" s="6"/>
      <c r="N29" s="5"/>
      <c r="O29" s="25"/>
      <c r="P29" s="25"/>
    </row>
    <row r="30" spans="1:16" x14ac:dyDescent="0.25">
      <c r="A30" t="s">
        <v>1732</v>
      </c>
      <c r="B30" s="9">
        <v>-300</v>
      </c>
      <c r="C30">
        <v>300</v>
      </c>
      <c r="D30" s="9" t="s">
        <v>6640</v>
      </c>
      <c r="E30" t="s">
        <v>6635</v>
      </c>
      <c r="F30" t="s">
        <v>3680</v>
      </c>
      <c r="G30" s="9" t="s">
        <v>3849</v>
      </c>
      <c r="I30" s="5" t="s">
        <v>4118</v>
      </c>
      <c r="J30" s="5" t="s">
        <v>6460</v>
      </c>
      <c r="K30" s="5" t="s">
        <v>3868</v>
      </c>
      <c r="M30" s="7">
        <v>13141</v>
      </c>
      <c r="N30" s="5"/>
    </row>
    <row r="31" spans="1:16" x14ac:dyDescent="0.25">
      <c r="A31" t="s">
        <v>1734</v>
      </c>
      <c r="B31" s="9">
        <v>-300</v>
      </c>
      <c r="C31">
        <v>300</v>
      </c>
      <c r="D31" s="9" t="s">
        <v>6641</v>
      </c>
      <c r="E31" t="s">
        <v>6635</v>
      </c>
      <c r="F31" t="s">
        <v>3681</v>
      </c>
      <c r="G31" s="9" t="s">
        <v>3849</v>
      </c>
      <c r="I31" s="5" t="s">
        <v>4129</v>
      </c>
      <c r="J31" s="5" t="s">
        <v>6461</v>
      </c>
      <c r="K31" s="5" t="s">
        <v>3904</v>
      </c>
      <c r="M31" s="6"/>
      <c r="O31" s="25"/>
    </row>
    <row r="32" spans="1:16" x14ac:dyDescent="0.25">
      <c r="A32" t="s">
        <v>1736</v>
      </c>
      <c r="B32" s="9">
        <v>-300</v>
      </c>
      <c r="C32">
        <v>300</v>
      </c>
      <c r="D32" s="9" t="s">
        <v>1737</v>
      </c>
      <c r="F32" t="s">
        <v>3682</v>
      </c>
      <c r="G32" s="9" t="s">
        <v>3849</v>
      </c>
      <c r="I32" s="5" t="s">
        <v>4130</v>
      </c>
      <c r="J32" s="5" t="s">
        <v>6462</v>
      </c>
      <c r="K32" s="5" t="s">
        <v>3868</v>
      </c>
      <c r="M32" s="6">
        <v>64</v>
      </c>
      <c r="N32" s="5"/>
      <c r="O32" s="25"/>
    </row>
    <row r="33" spans="1:16" x14ac:dyDescent="0.25">
      <c r="A33" t="s">
        <v>1738</v>
      </c>
      <c r="B33" s="9">
        <v>-300</v>
      </c>
      <c r="C33">
        <v>300</v>
      </c>
      <c r="D33" s="9" t="s">
        <v>3569</v>
      </c>
      <c r="F33" t="s">
        <v>3684</v>
      </c>
      <c r="G33" s="9" t="s">
        <v>3849</v>
      </c>
      <c r="I33" s="5" t="s">
        <v>4139</v>
      </c>
      <c r="J33" s="5" t="s">
        <v>6463</v>
      </c>
      <c r="K33" s="5" t="s">
        <v>3868</v>
      </c>
      <c r="M33" s="6">
        <v>87</v>
      </c>
      <c r="N33" s="1"/>
      <c r="O33" s="1"/>
      <c r="P33" s="1"/>
    </row>
    <row r="34" spans="1:16" x14ac:dyDescent="0.25">
      <c r="A34" t="s">
        <v>1740</v>
      </c>
      <c r="B34" s="9">
        <v>-300</v>
      </c>
      <c r="C34">
        <v>300</v>
      </c>
      <c r="D34" s="9" t="s">
        <v>1741</v>
      </c>
      <c r="F34" t="s">
        <v>3685</v>
      </c>
      <c r="G34" s="9" t="s">
        <v>3849</v>
      </c>
      <c r="I34" s="5" t="s">
        <v>4143</v>
      </c>
      <c r="J34" s="5" t="s">
        <v>6464</v>
      </c>
      <c r="K34" s="5" t="s">
        <v>3868</v>
      </c>
      <c r="M34" s="6"/>
      <c r="N34" s="5"/>
    </row>
    <row r="35" spans="1:16" x14ac:dyDescent="0.25">
      <c r="A35" t="s">
        <v>1742</v>
      </c>
      <c r="B35" s="9">
        <v>-300</v>
      </c>
      <c r="C35">
        <v>300</v>
      </c>
      <c r="D35" s="9" t="s">
        <v>3570</v>
      </c>
      <c r="F35" t="s">
        <v>3686</v>
      </c>
      <c r="G35" s="9" t="s">
        <v>3849</v>
      </c>
      <c r="I35" s="5" t="s">
        <v>4149</v>
      </c>
      <c r="J35" s="5" t="s">
        <v>6465</v>
      </c>
      <c r="K35" s="5" t="s">
        <v>3868</v>
      </c>
      <c r="M35" s="6">
        <v>54</v>
      </c>
      <c r="N35" s="5"/>
    </row>
    <row r="36" spans="1:16" x14ac:dyDescent="0.25">
      <c r="A36" t="s">
        <v>1744</v>
      </c>
      <c r="B36" s="9">
        <v>-300</v>
      </c>
      <c r="C36">
        <v>300</v>
      </c>
      <c r="D36" s="9" t="s">
        <v>1745</v>
      </c>
      <c r="F36" t="s">
        <v>3688</v>
      </c>
      <c r="G36" s="9" t="s">
        <v>3849</v>
      </c>
      <c r="I36" s="5" t="s">
        <v>4154</v>
      </c>
      <c r="J36" s="5" t="s">
        <v>6466</v>
      </c>
      <c r="K36" s="5" t="s">
        <v>3868</v>
      </c>
      <c r="M36" s="6"/>
      <c r="N36" s="5"/>
    </row>
    <row r="37" spans="1:16" x14ac:dyDescent="0.25">
      <c r="A37" t="s">
        <v>6643</v>
      </c>
      <c r="B37" s="9">
        <v>-300</v>
      </c>
      <c r="C37">
        <v>300</v>
      </c>
      <c r="D37" s="9" t="s">
        <v>1745</v>
      </c>
      <c r="F37" t="s">
        <v>6642</v>
      </c>
      <c r="G37" s="9" t="s">
        <v>3849</v>
      </c>
      <c r="M37" s="6"/>
      <c r="O37" s="25"/>
    </row>
    <row r="38" spans="1:16" x14ac:dyDescent="0.25">
      <c r="A38" t="s">
        <v>1746</v>
      </c>
      <c r="B38" s="9">
        <v>-300</v>
      </c>
      <c r="C38">
        <v>300</v>
      </c>
      <c r="D38" s="9" t="s">
        <v>1747</v>
      </c>
      <c r="F38" t="s">
        <v>3690</v>
      </c>
      <c r="G38" s="9" t="s">
        <v>3849</v>
      </c>
      <c r="I38" s="5" t="s">
        <v>4160</v>
      </c>
      <c r="J38" s="5" t="s">
        <v>6467</v>
      </c>
      <c r="K38" s="5" t="s">
        <v>3904</v>
      </c>
      <c r="M38" s="7">
        <v>105142</v>
      </c>
      <c r="N38" s="5"/>
    </row>
    <row r="39" spans="1:16" x14ac:dyDescent="0.25">
      <c r="A39" t="s">
        <v>1748</v>
      </c>
      <c r="B39" s="9">
        <v>-300</v>
      </c>
      <c r="C39">
        <v>300</v>
      </c>
      <c r="D39" s="9" t="s">
        <v>6644</v>
      </c>
      <c r="E39" t="s">
        <v>6635</v>
      </c>
      <c r="F39" t="s">
        <v>3691</v>
      </c>
      <c r="G39" s="9" t="s">
        <v>3849</v>
      </c>
      <c r="I39" s="5" t="s">
        <v>4161</v>
      </c>
      <c r="J39" s="5" t="s">
        <v>6468</v>
      </c>
      <c r="K39" s="5" t="s">
        <v>3868</v>
      </c>
      <c r="M39" s="6"/>
      <c r="N39" s="5"/>
    </row>
    <row r="40" spans="1:16" s="25" customFormat="1" x14ac:dyDescent="0.25">
      <c r="A40" s="42" t="s">
        <v>1750</v>
      </c>
      <c r="B40" s="43">
        <v>-300</v>
      </c>
      <c r="C40" s="42">
        <v>300</v>
      </c>
      <c r="D40" s="43" t="s">
        <v>3604</v>
      </c>
      <c r="E40" s="42" t="s">
        <v>1751</v>
      </c>
      <c r="F40" s="42" t="s">
        <v>3840</v>
      </c>
      <c r="G40" s="43" t="s">
        <v>3849</v>
      </c>
      <c r="H40"/>
      <c r="I40" s="5" t="s">
        <v>4166</v>
      </c>
      <c r="J40" s="5" t="s">
        <v>6469</v>
      </c>
      <c r="K40" s="5" t="s">
        <v>4097</v>
      </c>
      <c r="L40" s="5"/>
      <c r="M40" s="6"/>
      <c r="N40" s="5"/>
      <c r="P40"/>
    </row>
    <row r="41" spans="1:16" x14ac:dyDescent="0.25">
      <c r="A41" s="42" t="s">
        <v>4167</v>
      </c>
      <c r="B41" s="43">
        <v>-300</v>
      </c>
      <c r="C41" s="42">
        <v>300</v>
      </c>
      <c r="D41" s="43" t="s">
        <v>3604</v>
      </c>
      <c r="E41" s="42" t="s">
        <v>3615</v>
      </c>
      <c r="F41" s="42" t="s">
        <v>3841</v>
      </c>
      <c r="G41" s="43" t="s">
        <v>3849</v>
      </c>
      <c r="I41" s="5" t="s">
        <v>4168</v>
      </c>
      <c r="J41" s="5" t="s">
        <v>6470</v>
      </c>
      <c r="K41" s="5" t="s">
        <v>4097</v>
      </c>
      <c r="M41" s="6"/>
      <c r="O41" s="25"/>
    </row>
    <row r="42" spans="1:16" x14ac:dyDescent="0.25">
      <c r="A42" t="s">
        <v>1752</v>
      </c>
      <c r="B42" s="9">
        <v>-300</v>
      </c>
      <c r="C42">
        <v>300</v>
      </c>
      <c r="D42" s="9" t="s">
        <v>1753</v>
      </c>
      <c r="F42" t="s">
        <v>3639</v>
      </c>
      <c r="G42" s="9" t="s">
        <v>3849</v>
      </c>
      <c r="I42" s="5" t="s">
        <v>4172</v>
      </c>
      <c r="J42" s="5" t="s">
        <v>6471</v>
      </c>
      <c r="K42" s="5" t="s">
        <v>3868</v>
      </c>
      <c r="M42" s="6">
        <v>75</v>
      </c>
      <c r="O42" s="25"/>
    </row>
    <row r="43" spans="1:16" x14ac:dyDescent="0.25">
      <c r="A43" t="s">
        <v>1754</v>
      </c>
      <c r="B43" s="9">
        <v>-300</v>
      </c>
      <c r="C43">
        <v>300</v>
      </c>
      <c r="D43" s="9" t="s">
        <v>1755</v>
      </c>
      <c r="F43" t="s">
        <v>3692</v>
      </c>
      <c r="G43" s="9" t="s">
        <v>3849</v>
      </c>
      <c r="I43" s="5" t="s">
        <v>4181</v>
      </c>
      <c r="J43" s="5" t="s">
        <v>6474</v>
      </c>
      <c r="K43" s="5" t="s">
        <v>3868</v>
      </c>
      <c r="M43" s="6"/>
      <c r="N43" s="5"/>
      <c r="O43" s="25"/>
    </row>
    <row r="44" spans="1:16" x14ac:dyDescent="0.25">
      <c r="A44" t="s">
        <v>1756</v>
      </c>
      <c r="B44" s="9">
        <v>-300</v>
      </c>
      <c r="C44">
        <v>300</v>
      </c>
      <c r="D44" s="9" t="s">
        <v>1757</v>
      </c>
      <c r="F44" t="s">
        <v>3693</v>
      </c>
      <c r="G44" s="9" t="s">
        <v>3849</v>
      </c>
      <c r="I44" s="5" t="s">
        <v>4184</v>
      </c>
      <c r="J44" s="5" t="s">
        <v>6475</v>
      </c>
      <c r="K44" s="5" t="s">
        <v>3868</v>
      </c>
      <c r="M44" s="6"/>
      <c r="N44" s="5"/>
      <c r="O44" s="25"/>
    </row>
    <row r="45" spans="1:16" x14ac:dyDescent="0.25">
      <c r="A45" t="s">
        <v>1758</v>
      </c>
      <c r="B45" s="9">
        <v>-300</v>
      </c>
      <c r="C45">
        <v>300</v>
      </c>
      <c r="D45" s="9" t="s">
        <v>6645</v>
      </c>
      <c r="E45" t="s">
        <v>6635</v>
      </c>
      <c r="F45" t="s">
        <v>3694</v>
      </c>
      <c r="G45" s="9" t="s">
        <v>3849</v>
      </c>
      <c r="I45" s="5" t="s">
        <v>4185</v>
      </c>
      <c r="J45" s="5" t="s">
        <v>6476</v>
      </c>
      <c r="K45" s="5" t="s">
        <v>3868</v>
      </c>
      <c r="M45" s="6"/>
      <c r="N45" s="5"/>
      <c r="O45" s="25"/>
    </row>
    <row r="46" spans="1:16" x14ac:dyDescent="0.25">
      <c r="A46" t="s">
        <v>1760</v>
      </c>
      <c r="B46" s="9">
        <v>-300</v>
      </c>
      <c r="C46">
        <v>300</v>
      </c>
      <c r="D46" s="9" t="s">
        <v>1761</v>
      </c>
      <c r="F46" t="s">
        <v>3695</v>
      </c>
      <c r="G46" s="9" t="s">
        <v>3849</v>
      </c>
      <c r="I46" s="5" t="s">
        <v>4199</v>
      </c>
      <c r="J46" s="5" t="s">
        <v>6477</v>
      </c>
      <c r="K46" s="5" t="s">
        <v>3868</v>
      </c>
      <c r="M46" s="6"/>
      <c r="N46" s="5"/>
    </row>
    <row r="47" spans="1:16" x14ac:dyDescent="0.25">
      <c r="A47" t="s">
        <v>1762</v>
      </c>
      <c r="B47" s="9">
        <v>-300</v>
      </c>
      <c r="C47">
        <v>300</v>
      </c>
      <c r="D47" s="9" t="s">
        <v>1763</v>
      </c>
      <c r="F47" t="s">
        <v>3697</v>
      </c>
      <c r="G47" s="9" t="s">
        <v>3849</v>
      </c>
      <c r="I47" s="5" t="s">
        <v>4202</v>
      </c>
      <c r="J47" s="5" t="s">
        <v>6478</v>
      </c>
      <c r="K47" s="5" t="s">
        <v>3868</v>
      </c>
      <c r="M47" s="6">
        <v>132</v>
      </c>
      <c r="N47" s="5"/>
      <c r="O47" s="25"/>
    </row>
    <row r="48" spans="1:16" x14ac:dyDescent="0.25">
      <c r="A48" t="s">
        <v>1764</v>
      </c>
      <c r="B48" s="9">
        <v>-300</v>
      </c>
      <c r="C48">
        <v>300</v>
      </c>
      <c r="D48" s="9" t="s">
        <v>1765</v>
      </c>
      <c r="F48" t="s">
        <v>3698</v>
      </c>
      <c r="G48" s="9" t="s">
        <v>3849</v>
      </c>
      <c r="I48" s="5" t="s">
        <v>4211</v>
      </c>
      <c r="J48" s="5" t="s">
        <v>6479</v>
      </c>
      <c r="K48" s="5" t="s">
        <v>3868</v>
      </c>
      <c r="M48" s="6"/>
      <c r="N48" s="5"/>
      <c r="O48" s="25"/>
    </row>
    <row r="49" spans="1:16" x14ac:dyDescent="0.25">
      <c r="A49" t="s">
        <v>1766</v>
      </c>
      <c r="B49" s="9">
        <v>-300</v>
      </c>
      <c r="C49">
        <v>300</v>
      </c>
      <c r="D49" s="9" t="s">
        <v>1767</v>
      </c>
      <c r="F49" t="s">
        <v>3699</v>
      </c>
      <c r="G49" s="9" t="s">
        <v>3849</v>
      </c>
      <c r="I49" s="5" t="s">
        <v>4217</v>
      </c>
      <c r="J49" s="5" t="s">
        <v>6480</v>
      </c>
      <c r="K49" s="5" t="s">
        <v>3868</v>
      </c>
      <c r="M49" s="6"/>
      <c r="N49" s="5"/>
    </row>
    <row r="50" spans="1:16" x14ac:dyDescent="0.25">
      <c r="A50" t="s">
        <v>1768</v>
      </c>
      <c r="B50" s="9">
        <v>-300</v>
      </c>
      <c r="C50">
        <v>300</v>
      </c>
      <c r="D50" s="9" t="s">
        <v>1769</v>
      </c>
      <c r="F50" t="s">
        <v>3700</v>
      </c>
      <c r="G50" s="9" t="s">
        <v>3849</v>
      </c>
      <c r="I50" s="5" t="s">
        <v>4248</v>
      </c>
      <c r="J50" s="5" t="s">
        <v>6481</v>
      </c>
      <c r="K50" s="5" t="s">
        <v>3868</v>
      </c>
      <c r="M50" s="6"/>
      <c r="N50" s="5"/>
      <c r="O50" s="25"/>
      <c r="P50" s="25"/>
    </row>
    <row r="51" spans="1:16" x14ac:dyDescent="0.25">
      <c r="A51" t="s">
        <v>1770</v>
      </c>
      <c r="B51" s="9">
        <v>-300</v>
      </c>
      <c r="C51">
        <v>300</v>
      </c>
      <c r="D51" s="9" t="s">
        <v>1771</v>
      </c>
      <c r="F51" t="s">
        <v>3702</v>
      </c>
      <c r="G51" s="9" t="s">
        <v>3849</v>
      </c>
      <c r="I51" s="5" t="s">
        <v>4253</v>
      </c>
      <c r="J51" s="5" t="s">
        <v>6482</v>
      </c>
      <c r="K51" s="5" t="s">
        <v>3868</v>
      </c>
      <c r="M51" s="6">
        <v>76</v>
      </c>
      <c r="N51" s="5"/>
    </row>
    <row r="52" spans="1:16" s="1" customFormat="1" x14ac:dyDescent="0.25">
      <c r="A52" s="42" t="s">
        <v>1772</v>
      </c>
      <c r="B52" s="43">
        <v>-300</v>
      </c>
      <c r="C52" s="42">
        <v>300</v>
      </c>
      <c r="D52" s="43" t="s">
        <v>3573</v>
      </c>
      <c r="E52" s="42" t="s">
        <v>3573</v>
      </c>
      <c r="F52" s="42" t="s">
        <v>3843</v>
      </c>
      <c r="G52" s="43" t="s">
        <v>3849</v>
      </c>
      <c r="H52"/>
      <c r="I52" s="5" t="s">
        <v>4259</v>
      </c>
      <c r="J52" s="5" t="s">
        <v>6483</v>
      </c>
      <c r="K52" s="5" t="s">
        <v>4097</v>
      </c>
      <c r="L52" s="5"/>
      <c r="M52" s="6">
        <v>39</v>
      </c>
      <c r="N52"/>
      <c r="O52" s="25"/>
      <c r="P52"/>
    </row>
    <row r="53" spans="1:16" s="1" customFormat="1" x14ac:dyDescent="0.25">
      <c r="A53" s="42" t="s">
        <v>1774</v>
      </c>
      <c r="B53" s="43">
        <v>-300</v>
      </c>
      <c r="C53" s="42">
        <v>300</v>
      </c>
      <c r="D53" s="43" t="s">
        <v>1775</v>
      </c>
      <c r="E53" s="42" t="s">
        <v>1775</v>
      </c>
      <c r="F53" s="42" t="s">
        <v>3843</v>
      </c>
      <c r="G53" s="43" t="s">
        <v>3849</v>
      </c>
      <c r="H53"/>
      <c r="I53" s="5" t="s">
        <v>4260</v>
      </c>
      <c r="J53" s="5" t="s">
        <v>6484</v>
      </c>
      <c r="K53" s="5" t="s">
        <v>4097</v>
      </c>
      <c r="L53" s="5"/>
      <c r="M53" s="6">
        <v>39</v>
      </c>
      <c r="N53"/>
      <c r="O53" s="25"/>
      <c r="P53"/>
    </row>
    <row r="54" spans="1:16" x14ac:dyDescent="0.25">
      <c r="A54" t="s">
        <v>1776</v>
      </c>
      <c r="B54" s="9">
        <v>-300</v>
      </c>
      <c r="C54">
        <v>300</v>
      </c>
      <c r="D54" s="9" t="s">
        <v>1777</v>
      </c>
      <c r="F54" t="s">
        <v>3703</v>
      </c>
      <c r="G54" s="9" t="s">
        <v>3849</v>
      </c>
      <c r="I54" s="5" t="s">
        <v>4270</v>
      </c>
      <c r="J54" s="5" t="s">
        <v>6485</v>
      </c>
      <c r="K54" s="5" t="s">
        <v>3868</v>
      </c>
      <c r="M54" s="6"/>
      <c r="O54" s="25"/>
    </row>
    <row r="55" spans="1:16" x14ac:dyDescent="0.25">
      <c r="A55" t="s">
        <v>1778</v>
      </c>
      <c r="B55" s="9">
        <v>-300</v>
      </c>
      <c r="C55">
        <v>300</v>
      </c>
      <c r="D55" s="9" t="s">
        <v>1779</v>
      </c>
      <c r="F55" t="s">
        <v>6646</v>
      </c>
      <c r="G55" s="9" t="s">
        <v>3849</v>
      </c>
      <c r="I55" s="5" t="s">
        <v>4275</v>
      </c>
      <c r="J55" s="5" t="s">
        <v>6486</v>
      </c>
      <c r="K55" s="5" t="s">
        <v>3868</v>
      </c>
      <c r="M55" s="6"/>
      <c r="O55" s="25"/>
    </row>
    <row r="56" spans="1:16" x14ac:dyDescent="0.25">
      <c r="A56" t="s">
        <v>6647</v>
      </c>
      <c r="B56" s="9">
        <v>-300</v>
      </c>
      <c r="C56">
        <v>300</v>
      </c>
      <c r="D56" s="9" t="s">
        <v>1779</v>
      </c>
      <c r="F56" t="s">
        <v>3705</v>
      </c>
      <c r="G56" s="9" t="s">
        <v>3849</v>
      </c>
      <c r="M56" s="6"/>
      <c r="O56" s="25"/>
    </row>
    <row r="57" spans="1:16" x14ac:dyDescent="0.25">
      <c r="A57" t="s">
        <v>1780</v>
      </c>
      <c r="B57" s="9">
        <v>-300</v>
      </c>
      <c r="C57">
        <v>300</v>
      </c>
      <c r="D57" s="9" t="s">
        <v>1781</v>
      </c>
      <c r="F57" t="s">
        <v>3706</v>
      </c>
      <c r="G57" s="9" t="s">
        <v>3849</v>
      </c>
      <c r="I57" s="5" t="s">
        <v>4296</v>
      </c>
      <c r="J57" s="5" t="s">
        <v>6487</v>
      </c>
      <c r="K57" s="5" t="s">
        <v>3868</v>
      </c>
      <c r="M57" s="6"/>
      <c r="O57" s="25"/>
    </row>
    <row r="58" spans="1:16" s="1" customFormat="1" x14ac:dyDescent="0.25">
      <c r="A58" s="42" t="s">
        <v>1782</v>
      </c>
      <c r="B58" s="43">
        <v>-300</v>
      </c>
      <c r="C58" s="42">
        <v>300</v>
      </c>
      <c r="D58" s="43" t="s">
        <v>3603</v>
      </c>
      <c r="E58" s="42" t="s">
        <v>3630</v>
      </c>
      <c r="F58" s="42" t="s">
        <v>3839</v>
      </c>
      <c r="G58" s="43" t="s">
        <v>3849</v>
      </c>
      <c r="H58"/>
      <c r="I58" s="5" t="s">
        <v>4314</v>
      </c>
      <c r="J58" s="5" t="s">
        <v>6488</v>
      </c>
      <c r="K58" s="5" t="s">
        <v>4097</v>
      </c>
      <c r="L58" s="5" t="s">
        <v>6489</v>
      </c>
      <c r="M58" s="6"/>
      <c r="N58" s="5"/>
      <c r="O58" s="25"/>
      <c r="P58"/>
    </row>
    <row r="59" spans="1:16" s="1" customFormat="1" x14ac:dyDescent="0.25">
      <c r="A59" s="42" t="s">
        <v>1784</v>
      </c>
      <c r="B59" s="43">
        <v>-300</v>
      </c>
      <c r="C59" s="42">
        <v>300</v>
      </c>
      <c r="D59" s="43" t="s">
        <v>3601</v>
      </c>
      <c r="E59" s="42" t="s">
        <v>3629</v>
      </c>
      <c r="F59" s="42" t="s">
        <v>3839</v>
      </c>
      <c r="G59" s="43" t="s">
        <v>3849</v>
      </c>
      <c r="H59"/>
      <c r="I59" s="5" t="s">
        <v>4315</v>
      </c>
      <c r="J59" s="5" t="s">
        <v>6490</v>
      </c>
      <c r="K59" s="5" t="s">
        <v>4097</v>
      </c>
      <c r="L59" s="5" t="s">
        <v>6489</v>
      </c>
      <c r="M59" s="6"/>
      <c r="N59" s="5"/>
      <c r="O59"/>
      <c r="P59"/>
    </row>
    <row r="60" spans="1:16" x14ac:dyDescent="0.25">
      <c r="A60" t="s">
        <v>1786</v>
      </c>
      <c r="B60" s="9">
        <v>-300</v>
      </c>
      <c r="C60">
        <v>300</v>
      </c>
      <c r="D60" s="9" t="s">
        <v>6648</v>
      </c>
      <c r="E60" t="s">
        <v>6635</v>
      </c>
      <c r="F60" t="s">
        <v>3707</v>
      </c>
      <c r="G60" s="9" t="s">
        <v>3849</v>
      </c>
      <c r="I60" s="5" t="s">
        <v>4316</v>
      </c>
      <c r="J60" s="5" t="s">
        <v>6491</v>
      </c>
      <c r="K60" s="5" t="s">
        <v>3868</v>
      </c>
      <c r="M60" s="6">
        <v>56</v>
      </c>
      <c r="N60" s="5"/>
      <c r="O60" s="25"/>
    </row>
    <row r="61" spans="1:16" x14ac:dyDescent="0.25">
      <c r="A61" t="s">
        <v>1788</v>
      </c>
      <c r="B61" s="9">
        <v>-300</v>
      </c>
      <c r="C61">
        <v>300</v>
      </c>
      <c r="D61" s="9" t="s">
        <v>1789</v>
      </c>
      <c r="F61" t="s">
        <v>3709</v>
      </c>
      <c r="G61" s="9" t="s">
        <v>3849</v>
      </c>
      <c r="I61" s="5" t="s">
        <v>4322</v>
      </c>
      <c r="J61" s="5" t="s">
        <v>6492</v>
      </c>
      <c r="K61" s="5" t="s">
        <v>3868</v>
      </c>
      <c r="M61" s="6"/>
      <c r="O61" s="25"/>
    </row>
    <row r="62" spans="1:16" x14ac:dyDescent="0.25">
      <c r="A62" t="s">
        <v>1790</v>
      </c>
      <c r="B62" s="9">
        <v>-300</v>
      </c>
      <c r="C62">
        <v>300</v>
      </c>
      <c r="D62" s="9" t="s">
        <v>3575</v>
      </c>
      <c r="E62" t="s">
        <v>3618</v>
      </c>
      <c r="F62" t="s">
        <v>3710</v>
      </c>
      <c r="G62" s="9" t="s">
        <v>3849</v>
      </c>
      <c r="I62" s="5" t="s">
        <v>4327</v>
      </c>
      <c r="J62" s="5" t="s">
        <v>6493</v>
      </c>
      <c r="K62" s="5" t="s">
        <v>3868</v>
      </c>
      <c r="M62" s="6"/>
      <c r="O62" s="25"/>
    </row>
    <row r="63" spans="1:16" x14ac:dyDescent="0.25">
      <c r="A63" t="s">
        <v>1792</v>
      </c>
      <c r="B63" s="9">
        <v>-300</v>
      </c>
      <c r="C63">
        <v>300</v>
      </c>
      <c r="D63" s="9" t="s">
        <v>3576</v>
      </c>
      <c r="E63" t="s">
        <v>3619</v>
      </c>
      <c r="F63" t="s">
        <v>3710</v>
      </c>
      <c r="G63" s="9" t="s">
        <v>3849</v>
      </c>
      <c r="I63" s="5" t="s">
        <v>4328</v>
      </c>
      <c r="J63" s="5" t="s">
        <v>6494</v>
      </c>
      <c r="K63" s="5" t="s">
        <v>3868</v>
      </c>
      <c r="M63" s="6">
        <v>132</v>
      </c>
      <c r="O63" s="25"/>
    </row>
    <row r="64" spans="1:16" s="1" customFormat="1" x14ac:dyDescent="0.25">
      <c r="A64" s="25" t="s">
        <v>1794</v>
      </c>
      <c r="B64" s="26">
        <v>-300</v>
      </c>
      <c r="C64" s="25">
        <v>300</v>
      </c>
      <c r="D64" s="26" t="s">
        <v>6649</v>
      </c>
      <c r="E64" s="25"/>
      <c r="F64" s="25" t="s">
        <v>6650</v>
      </c>
      <c r="G64" s="26" t="s">
        <v>3849</v>
      </c>
      <c r="H64"/>
      <c r="I64" s="5" t="s">
        <v>4332</v>
      </c>
      <c r="J64" s="5" t="s">
        <v>6495</v>
      </c>
      <c r="K64" s="5" t="s">
        <v>3868</v>
      </c>
      <c r="L64" s="5"/>
      <c r="M64" s="6">
        <v>135</v>
      </c>
      <c r="N64"/>
      <c r="O64" s="25"/>
      <c r="P64"/>
    </row>
    <row r="65" spans="1:16" x14ac:dyDescent="0.25">
      <c r="A65" t="s">
        <v>1796</v>
      </c>
      <c r="B65" s="9">
        <v>-300</v>
      </c>
      <c r="C65">
        <v>300</v>
      </c>
      <c r="D65" s="9" t="s">
        <v>1797</v>
      </c>
      <c r="F65" t="s">
        <v>3713</v>
      </c>
      <c r="G65" s="9" t="s">
        <v>3849</v>
      </c>
      <c r="I65" s="5" t="s">
        <v>4333</v>
      </c>
      <c r="J65" s="5" t="s">
        <v>6496</v>
      </c>
      <c r="K65" s="5" t="s">
        <v>3868</v>
      </c>
      <c r="M65" s="6"/>
      <c r="N65" s="5"/>
      <c r="O65" s="25"/>
    </row>
    <row r="66" spans="1:16" x14ac:dyDescent="0.25">
      <c r="A66" t="s">
        <v>1798</v>
      </c>
      <c r="B66" s="9">
        <v>-300</v>
      </c>
      <c r="C66">
        <v>300</v>
      </c>
      <c r="D66" s="9" t="s">
        <v>1799</v>
      </c>
      <c r="F66" t="s">
        <v>3641</v>
      </c>
      <c r="G66" s="9" t="s">
        <v>3849</v>
      </c>
      <c r="I66" s="5" t="s">
        <v>4336</v>
      </c>
      <c r="J66" s="5" t="s">
        <v>6497</v>
      </c>
      <c r="K66" s="5" t="s">
        <v>3868</v>
      </c>
      <c r="M66" s="6">
        <v>53</v>
      </c>
      <c r="N66" s="5"/>
    </row>
    <row r="67" spans="1:16" x14ac:dyDescent="0.25">
      <c r="A67" t="s">
        <v>4337</v>
      </c>
      <c r="B67" s="9">
        <v>-300</v>
      </c>
      <c r="C67">
        <v>300</v>
      </c>
      <c r="G67" s="9" t="s">
        <v>3849</v>
      </c>
      <c r="I67" s="5" t="s">
        <v>4338</v>
      </c>
      <c r="J67" s="5" t="s">
        <v>5266</v>
      </c>
      <c r="K67" s="5" t="s">
        <v>3868</v>
      </c>
      <c r="M67" s="6" t="s">
        <v>6498</v>
      </c>
      <c r="N67" s="5"/>
    </row>
    <row r="68" spans="1:16" s="1" customFormat="1" x14ac:dyDescent="0.25">
      <c r="A68" s="25" t="s">
        <v>1800</v>
      </c>
      <c r="B68" s="26">
        <v>-300</v>
      </c>
      <c r="C68" s="25">
        <v>300</v>
      </c>
      <c r="D68" s="26" t="s">
        <v>6651</v>
      </c>
      <c r="E68" s="25"/>
      <c r="F68" s="25" t="s">
        <v>6652</v>
      </c>
      <c r="G68" s="26" t="s">
        <v>3849</v>
      </c>
      <c r="H68"/>
      <c r="I68" s="5" t="s">
        <v>4360</v>
      </c>
      <c r="J68" s="5" t="s">
        <v>6499</v>
      </c>
      <c r="K68" s="5" t="s">
        <v>3868</v>
      </c>
      <c r="L68" s="5"/>
      <c r="M68" s="6">
        <v>135</v>
      </c>
      <c r="N68" s="5"/>
      <c r="O68"/>
      <c r="P68"/>
    </row>
    <row r="69" spans="1:16" x14ac:dyDescent="0.25">
      <c r="A69" t="s">
        <v>1802</v>
      </c>
      <c r="B69" s="9">
        <v>-300</v>
      </c>
      <c r="C69">
        <v>300</v>
      </c>
      <c r="D69" s="9" t="s">
        <v>6653</v>
      </c>
      <c r="E69" t="s">
        <v>6635</v>
      </c>
      <c r="F69" t="s">
        <v>3716</v>
      </c>
      <c r="G69" s="9" t="s">
        <v>3849</v>
      </c>
      <c r="I69" s="5" t="s">
        <v>4361</v>
      </c>
      <c r="J69" s="5" t="s">
        <v>6500</v>
      </c>
      <c r="K69" s="5" t="s">
        <v>3868</v>
      </c>
      <c r="M69" s="6"/>
      <c r="N69" s="5"/>
    </row>
    <row r="70" spans="1:16" x14ac:dyDescent="0.25">
      <c r="A70" t="s">
        <v>1804</v>
      </c>
      <c r="B70" s="9">
        <v>-300</v>
      </c>
      <c r="C70">
        <v>300</v>
      </c>
      <c r="D70" s="9" t="s">
        <v>1805</v>
      </c>
      <c r="F70" t="s">
        <v>3718</v>
      </c>
      <c r="G70" s="9" t="s">
        <v>3849</v>
      </c>
      <c r="I70" s="5" t="s">
        <v>4366</v>
      </c>
      <c r="J70" s="5" t="s">
        <v>6501</v>
      </c>
      <c r="K70" s="5" t="s">
        <v>3868</v>
      </c>
      <c r="M70" s="7">
        <v>132142</v>
      </c>
      <c r="N70" s="5"/>
      <c r="O70" s="25"/>
    </row>
    <row r="71" spans="1:16" x14ac:dyDescent="0.25">
      <c r="A71" t="s">
        <v>1806</v>
      </c>
      <c r="B71" s="9">
        <v>-300</v>
      </c>
      <c r="C71">
        <v>300</v>
      </c>
      <c r="D71" s="9" t="s">
        <v>1807</v>
      </c>
      <c r="F71" t="s">
        <v>3720</v>
      </c>
      <c r="G71" s="9" t="s">
        <v>3849</v>
      </c>
      <c r="I71" s="5" t="s">
        <v>4367</v>
      </c>
      <c r="J71" s="5" t="s">
        <v>6502</v>
      </c>
      <c r="K71" s="5" t="s">
        <v>3849</v>
      </c>
      <c r="M71" s="6"/>
      <c r="N71" s="5"/>
    </row>
    <row r="72" spans="1:16" x14ac:dyDescent="0.25">
      <c r="A72" t="s">
        <v>1808</v>
      </c>
      <c r="B72" s="9">
        <v>-300</v>
      </c>
      <c r="C72">
        <v>300</v>
      </c>
      <c r="D72" s="9" t="s">
        <v>1809</v>
      </c>
      <c r="F72" t="s">
        <v>3716</v>
      </c>
      <c r="G72" s="9" t="s">
        <v>3849</v>
      </c>
      <c r="I72" s="5" t="s">
        <v>4372</v>
      </c>
      <c r="J72" s="5" t="s">
        <v>6503</v>
      </c>
      <c r="K72" s="5" t="s">
        <v>3868</v>
      </c>
      <c r="M72" s="6"/>
      <c r="N72" s="5"/>
      <c r="O72" s="25"/>
      <c r="P72" s="40"/>
    </row>
    <row r="73" spans="1:16" x14ac:dyDescent="0.25">
      <c r="A73" t="s">
        <v>1810</v>
      </c>
      <c r="B73" s="9">
        <v>-300</v>
      </c>
      <c r="C73">
        <v>300</v>
      </c>
      <c r="D73" s="9" t="s">
        <v>3580</v>
      </c>
      <c r="E73" t="s">
        <v>3620</v>
      </c>
      <c r="F73" t="s">
        <v>3721</v>
      </c>
      <c r="G73" s="9" t="s">
        <v>3849</v>
      </c>
      <c r="I73" s="5" t="s">
        <v>4373</v>
      </c>
      <c r="J73" s="5" t="s">
        <v>6504</v>
      </c>
      <c r="K73" s="5" t="s">
        <v>3868</v>
      </c>
      <c r="M73" s="6"/>
      <c r="O73" s="25"/>
    </row>
    <row r="74" spans="1:16" x14ac:dyDescent="0.25">
      <c r="A74" t="s">
        <v>4376</v>
      </c>
      <c r="B74" s="9">
        <v>-300</v>
      </c>
      <c r="C74">
        <v>300</v>
      </c>
      <c r="G74" s="9" t="s">
        <v>3849</v>
      </c>
      <c r="I74" s="5" t="s">
        <v>4377</v>
      </c>
      <c r="J74" s="5" t="s">
        <v>5267</v>
      </c>
      <c r="K74" s="5" t="s">
        <v>3884</v>
      </c>
      <c r="L74" s="5" t="s">
        <v>4375</v>
      </c>
      <c r="M74" s="6"/>
      <c r="N74" s="1"/>
      <c r="O74" s="1"/>
      <c r="P74" s="1"/>
    </row>
    <row r="75" spans="1:16" x14ac:dyDescent="0.25">
      <c r="A75" t="s">
        <v>1812</v>
      </c>
      <c r="B75" s="9">
        <v>-300</v>
      </c>
      <c r="C75">
        <v>300</v>
      </c>
      <c r="D75" s="9" t="s">
        <v>1813</v>
      </c>
      <c r="F75" t="s">
        <v>3723</v>
      </c>
      <c r="G75" s="9" t="s">
        <v>3849</v>
      </c>
      <c r="I75" s="5" t="s">
        <v>4378</v>
      </c>
      <c r="J75" s="5" t="s">
        <v>6505</v>
      </c>
      <c r="K75" s="5" t="s">
        <v>3868</v>
      </c>
      <c r="M75" s="6">
        <v>132</v>
      </c>
      <c r="N75" s="1"/>
      <c r="O75" s="1"/>
      <c r="P75" s="1"/>
    </row>
    <row r="76" spans="1:16" x14ac:dyDescent="0.25">
      <c r="A76" t="s">
        <v>1814</v>
      </c>
      <c r="B76" s="9">
        <v>-300</v>
      </c>
      <c r="C76">
        <v>300</v>
      </c>
      <c r="D76" s="9" t="s">
        <v>3581</v>
      </c>
      <c r="E76" t="s">
        <v>3621</v>
      </c>
      <c r="F76" t="s">
        <v>3724</v>
      </c>
      <c r="G76" s="9" t="s">
        <v>3849</v>
      </c>
      <c r="I76" s="5" t="s">
        <v>4379</v>
      </c>
      <c r="J76" s="5" t="s">
        <v>6506</v>
      </c>
      <c r="K76" s="5" t="s">
        <v>3868</v>
      </c>
      <c r="M76" s="6">
        <v>132</v>
      </c>
      <c r="N76" s="5"/>
    </row>
    <row r="77" spans="1:16" x14ac:dyDescent="0.25">
      <c r="A77" t="s">
        <v>6654</v>
      </c>
      <c r="B77" s="9">
        <v>-300</v>
      </c>
      <c r="C77">
        <v>300</v>
      </c>
      <c r="D77" s="9" t="s">
        <v>3581</v>
      </c>
      <c r="E77" t="s">
        <v>3621</v>
      </c>
      <c r="F77" t="s">
        <v>3725</v>
      </c>
      <c r="G77" s="9" t="s">
        <v>3849</v>
      </c>
      <c r="M77" s="6"/>
      <c r="N77" s="5"/>
    </row>
    <row r="78" spans="1:16" s="1" customFormat="1" x14ac:dyDescent="0.25">
      <c r="A78" s="42" t="s">
        <v>1816</v>
      </c>
      <c r="B78" s="43">
        <v>-300</v>
      </c>
      <c r="C78" s="42">
        <v>300</v>
      </c>
      <c r="D78" s="43" t="s">
        <v>3614</v>
      </c>
      <c r="E78" s="42" t="s">
        <v>3582</v>
      </c>
      <c r="F78" s="42" t="s">
        <v>3847</v>
      </c>
      <c r="G78" s="43" t="s">
        <v>3849</v>
      </c>
      <c r="H78"/>
      <c r="I78" s="5" t="s">
        <v>4395</v>
      </c>
      <c r="J78" s="5" t="s">
        <v>5268</v>
      </c>
      <c r="K78" s="5" t="s">
        <v>4097</v>
      </c>
      <c r="L78" s="5"/>
      <c r="M78" s="6">
        <v>140</v>
      </c>
      <c r="N78" s="5"/>
      <c r="O78" s="25"/>
      <c r="P78"/>
    </row>
    <row r="79" spans="1:16" x14ac:dyDescent="0.25">
      <c r="A79" t="s">
        <v>1818</v>
      </c>
      <c r="B79" s="9">
        <v>-300</v>
      </c>
      <c r="C79">
        <v>300</v>
      </c>
      <c r="D79" s="9" t="s">
        <v>1819</v>
      </c>
      <c r="F79" t="s">
        <v>3727</v>
      </c>
      <c r="G79" s="9" t="s">
        <v>3849</v>
      </c>
      <c r="I79" s="5" t="s">
        <v>4396</v>
      </c>
      <c r="J79" s="5" t="s">
        <v>6507</v>
      </c>
      <c r="K79" s="5" t="s">
        <v>3868</v>
      </c>
      <c r="M79" s="6">
        <v>5</v>
      </c>
      <c r="N79" s="5"/>
      <c r="O79" s="25"/>
    </row>
    <row r="80" spans="1:16" x14ac:dyDescent="0.25">
      <c r="A80" t="s">
        <v>1820</v>
      </c>
      <c r="B80" s="9">
        <v>-300</v>
      </c>
      <c r="C80">
        <v>300</v>
      </c>
      <c r="D80" s="9" t="s">
        <v>3583</v>
      </c>
      <c r="E80" t="s">
        <v>3622</v>
      </c>
      <c r="F80" t="s">
        <v>3728</v>
      </c>
      <c r="G80" s="9" t="s">
        <v>3849</v>
      </c>
      <c r="I80" s="5" t="s">
        <v>4399</v>
      </c>
      <c r="J80" s="5" t="s">
        <v>6508</v>
      </c>
      <c r="K80" s="5" t="s">
        <v>3868</v>
      </c>
      <c r="M80" s="7">
        <v>132139</v>
      </c>
      <c r="N80" s="5"/>
    </row>
    <row r="81" spans="1:15" x14ac:dyDescent="0.25">
      <c r="A81" t="s">
        <v>1822</v>
      </c>
      <c r="B81" s="9">
        <v>-300</v>
      </c>
      <c r="C81">
        <v>300</v>
      </c>
      <c r="D81" s="9" t="s">
        <v>1823</v>
      </c>
      <c r="F81" t="s">
        <v>3730</v>
      </c>
      <c r="G81" s="9" t="s">
        <v>3849</v>
      </c>
      <c r="I81" s="5" t="s">
        <v>4404</v>
      </c>
      <c r="J81" s="5" t="s">
        <v>6509</v>
      </c>
      <c r="K81" s="5" t="s">
        <v>3904</v>
      </c>
      <c r="M81" s="6"/>
      <c r="N81" s="5"/>
      <c r="O81" s="25"/>
    </row>
    <row r="82" spans="1:15" x14ac:dyDescent="0.25">
      <c r="A82" t="s">
        <v>1824</v>
      </c>
      <c r="B82" s="9">
        <v>-300</v>
      </c>
      <c r="C82">
        <v>300</v>
      </c>
      <c r="D82" s="9" t="s">
        <v>1825</v>
      </c>
      <c r="F82" t="s">
        <v>3728</v>
      </c>
      <c r="G82" s="9" t="s">
        <v>3849</v>
      </c>
      <c r="I82" s="5" t="s">
        <v>4407</v>
      </c>
      <c r="J82" s="5" t="s">
        <v>6510</v>
      </c>
      <c r="K82" s="5" t="s">
        <v>3868</v>
      </c>
      <c r="M82" s="6"/>
      <c r="O82" s="25"/>
    </row>
    <row r="83" spans="1:15" x14ac:dyDescent="0.25">
      <c r="A83" t="s">
        <v>1826</v>
      </c>
      <c r="B83" s="9">
        <v>-300</v>
      </c>
      <c r="C83">
        <v>300</v>
      </c>
      <c r="D83" s="9" t="s">
        <v>1827</v>
      </c>
      <c r="F83" t="s">
        <v>3732</v>
      </c>
      <c r="G83" s="9" t="s">
        <v>3849</v>
      </c>
      <c r="I83" s="5" t="s">
        <v>4408</v>
      </c>
      <c r="J83" s="5" t="s">
        <v>6511</v>
      </c>
      <c r="K83" s="5" t="s">
        <v>3868</v>
      </c>
      <c r="M83" s="6">
        <v>132</v>
      </c>
      <c r="N83" s="5"/>
      <c r="O83" s="25"/>
    </row>
    <row r="84" spans="1:15" x14ac:dyDescent="0.25">
      <c r="A84" t="s">
        <v>1828</v>
      </c>
      <c r="B84" s="9">
        <v>-300</v>
      </c>
      <c r="C84">
        <v>300</v>
      </c>
      <c r="D84" s="9" t="s">
        <v>6655</v>
      </c>
      <c r="E84" t="s">
        <v>6635</v>
      </c>
      <c r="F84" t="s">
        <v>3733</v>
      </c>
      <c r="G84" s="9" t="s">
        <v>3849</v>
      </c>
      <c r="I84" s="5" t="s">
        <v>4411</v>
      </c>
      <c r="J84" s="5" t="s">
        <v>6512</v>
      </c>
      <c r="K84" s="5" t="s">
        <v>3868</v>
      </c>
      <c r="M84" s="6"/>
      <c r="N84" s="5"/>
      <c r="O84" s="25"/>
    </row>
    <row r="85" spans="1:15" x14ac:dyDescent="0.25">
      <c r="A85" t="s">
        <v>1830</v>
      </c>
      <c r="B85" s="9">
        <v>-300</v>
      </c>
      <c r="C85">
        <v>300</v>
      </c>
      <c r="D85" s="9" t="s">
        <v>6656</v>
      </c>
      <c r="E85" t="s">
        <v>6635</v>
      </c>
      <c r="F85" t="s">
        <v>3734</v>
      </c>
      <c r="G85" s="9" t="s">
        <v>3849</v>
      </c>
      <c r="I85" s="5" t="s">
        <v>4418</v>
      </c>
      <c r="J85" s="5" t="s">
        <v>6513</v>
      </c>
      <c r="K85" s="5" t="s">
        <v>3868</v>
      </c>
      <c r="M85" s="6"/>
      <c r="N85" s="5"/>
    </row>
    <row r="86" spans="1:15" x14ac:dyDescent="0.25">
      <c r="A86" t="s">
        <v>1832</v>
      </c>
      <c r="B86" s="9">
        <v>-300</v>
      </c>
      <c r="C86">
        <v>300</v>
      </c>
      <c r="D86" s="9" t="s">
        <v>3586</v>
      </c>
      <c r="F86" t="s">
        <v>3736</v>
      </c>
      <c r="G86" s="9" t="s">
        <v>3849</v>
      </c>
      <c r="I86" s="5" t="s">
        <v>4419</v>
      </c>
      <c r="J86" s="5" t="s">
        <v>6514</v>
      </c>
      <c r="K86" s="5" t="s">
        <v>3904</v>
      </c>
      <c r="M86" s="6"/>
      <c r="N86" s="5"/>
      <c r="O86" s="25"/>
    </row>
    <row r="87" spans="1:15" x14ac:dyDescent="0.25">
      <c r="A87" t="s">
        <v>1834</v>
      </c>
      <c r="B87" s="9">
        <v>-300</v>
      </c>
      <c r="C87">
        <v>300</v>
      </c>
      <c r="D87" s="9" t="s">
        <v>1835</v>
      </c>
      <c r="F87" t="s">
        <v>3737</v>
      </c>
      <c r="G87" s="9" t="s">
        <v>3849</v>
      </c>
      <c r="I87" s="5" t="s">
        <v>4434</v>
      </c>
      <c r="J87" s="5" t="s">
        <v>6515</v>
      </c>
      <c r="K87" s="5" t="s">
        <v>3868</v>
      </c>
      <c r="M87" s="6"/>
      <c r="N87" s="5"/>
      <c r="O87" s="25"/>
    </row>
    <row r="88" spans="1:15" x14ac:dyDescent="0.25">
      <c r="A88" t="s">
        <v>1836</v>
      </c>
      <c r="B88" s="9">
        <v>-300</v>
      </c>
      <c r="C88">
        <v>300</v>
      </c>
      <c r="D88" s="9" t="s">
        <v>1837</v>
      </c>
      <c r="F88" t="s">
        <v>3738</v>
      </c>
      <c r="G88" s="9" t="s">
        <v>3849</v>
      </c>
      <c r="I88" s="5" t="s">
        <v>4435</v>
      </c>
      <c r="J88" s="5" t="s">
        <v>6516</v>
      </c>
      <c r="K88" s="5" t="s">
        <v>3868</v>
      </c>
      <c r="M88" s="6"/>
      <c r="N88" s="5"/>
      <c r="O88" s="25"/>
    </row>
    <row r="89" spans="1:15" x14ac:dyDescent="0.25">
      <c r="A89" t="s">
        <v>1838</v>
      </c>
      <c r="B89" s="9">
        <v>-300</v>
      </c>
      <c r="C89">
        <v>300</v>
      </c>
      <c r="D89" s="9" t="s">
        <v>1839</v>
      </c>
      <c r="F89" t="s">
        <v>3739</v>
      </c>
      <c r="G89" s="9" t="s">
        <v>3849</v>
      </c>
      <c r="I89" s="5" t="s">
        <v>4442</v>
      </c>
      <c r="J89" s="5" t="s">
        <v>6517</v>
      </c>
      <c r="K89" s="5" t="s">
        <v>3868</v>
      </c>
      <c r="M89" s="6">
        <v>46</v>
      </c>
      <c r="N89" s="5"/>
    </row>
    <row r="90" spans="1:15" x14ac:dyDescent="0.25">
      <c r="A90" t="s">
        <v>1840</v>
      </c>
      <c r="B90" s="9">
        <v>-300</v>
      </c>
      <c r="C90">
        <v>300</v>
      </c>
      <c r="D90" s="9" t="s">
        <v>6657</v>
      </c>
      <c r="E90" t="s">
        <v>6635</v>
      </c>
      <c r="F90" t="s">
        <v>3740</v>
      </c>
      <c r="G90" s="9" t="s">
        <v>3849</v>
      </c>
      <c r="I90" s="5" t="s">
        <v>4445</v>
      </c>
      <c r="J90" s="5" t="s">
        <v>6518</v>
      </c>
      <c r="K90" s="5" t="s">
        <v>3904</v>
      </c>
      <c r="M90" s="6"/>
      <c r="N90" s="5"/>
      <c r="O90" s="25"/>
    </row>
    <row r="91" spans="1:15" x14ac:dyDescent="0.25">
      <c r="A91" t="s">
        <v>1842</v>
      </c>
      <c r="B91" s="9">
        <v>-300</v>
      </c>
      <c r="C91">
        <v>300</v>
      </c>
      <c r="D91" s="9" t="s">
        <v>1843</v>
      </c>
      <c r="F91" t="s">
        <v>3740</v>
      </c>
      <c r="G91" s="9" t="s">
        <v>3849</v>
      </c>
      <c r="I91" s="5" t="s">
        <v>4446</v>
      </c>
      <c r="J91" s="5" t="s">
        <v>6519</v>
      </c>
      <c r="K91" s="5" t="s">
        <v>3904</v>
      </c>
      <c r="M91" s="6"/>
      <c r="N91" s="5"/>
      <c r="O91" s="25"/>
    </row>
    <row r="92" spans="1:15" x14ac:dyDescent="0.25">
      <c r="A92" t="s">
        <v>1844</v>
      </c>
      <c r="B92" s="9">
        <v>-300</v>
      </c>
      <c r="C92">
        <v>300</v>
      </c>
      <c r="D92" s="9" t="s">
        <v>6658</v>
      </c>
      <c r="E92" t="s">
        <v>6635</v>
      </c>
      <c r="F92" t="s">
        <v>3741</v>
      </c>
      <c r="G92" s="9" t="s">
        <v>3849</v>
      </c>
      <c r="I92" s="5" t="s">
        <v>4447</v>
      </c>
      <c r="J92" s="5" t="s">
        <v>6520</v>
      </c>
      <c r="K92" s="5" t="s">
        <v>3868</v>
      </c>
      <c r="M92" s="6">
        <v>142</v>
      </c>
      <c r="N92" s="5"/>
    </row>
    <row r="93" spans="1:15" x14ac:dyDescent="0.25">
      <c r="A93" t="s">
        <v>1846</v>
      </c>
      <c r="B93" s="9">
        <v>-300</v>
      </c>
      <c r="C93">
        <v>300</v>
      </c>
      <c r="D93" s="9" t="s">
        <v>3589</v>
      </c>
      <c r="F93" t="s">
        <v>3742</v>
      </c>
      <c r="G93" s="9" t="s">
        <v>3849</v>
      </c>
      <c r="I93" s="5" t="s">
        <v>4448</v>
      </c>
      <c r="J93" s="5" t="s">
        <v>6521</v>
      </c>
      <c r="K93" s="5" t="s">
        <v>3868</v>
      </c>
      <c r="M93" s="6"/>
      <c r="N93" s="5"/>
      <c r="O93" s="25"/>
    </row>
    <row r="94" spans="1:15" x14ac:dyDescent="0.25">
      <c r="A94" t="s">
        <v>1848</v>
      </c>
      <c r="B94" s="9">
        <v>-300</v>
      </c>
      <c r="C94">
        <v>300</v>
      </c>
      <c r="D94" s="9" t="s">
        <v>1849</v>
      </c>
      <c r="F94" t="s">
        <v>3744</v>
      </c>
      <c r="G94" s="9" t="s">
        <v>3849</v>
      </c>
      <c r="I94" s="5" t="s">
        <v>4456</v>
      </c>
      <c r="J94" s="5" t="s">
        <v>6522</v>
      </c>
      <c r="K94" s="5" t="s">
        <v>3868</v>
      </c>
      <c r="M94" s="6">
        <v>76</v>
      </c>
      <c r="N94" s="5"/>
    </row>
    <row r="95" spans="1:15" x14ac:dyDescent="0.25">
      <c r="A95" t="s">
        <v>1850</v>
      </c>
      <c r="B95" s="9">
        <v>-300</v>
      </c>
      <c r="C95">
        <v>300</v>
      </c>
      <c r="D95" s="9" t="s">
        <v>1851</v>
      </c>
      <c r="F95" t="s">
        <v>3745</v>
      </c>
      <c r="G95" s="9" t="s">
        <v>3849</v>
      </c>
      <c r="I95" s="5" t="s">
        <v>4457</v>
      </c>
      <c r="J95" s="5" t="s">
        <v>6523</v>
      </c>
      <c r="K95" s="5" t="s">
        <v>3868</v>
      </c>
      <c r="M95" s="6">
        <v>46</v>
      </c>
      <c r="N95" s="5"/>
      <c r="O95" s="25"/>
    </row>
    <row r="96" spans="1:15" x14ac:dyDescent="0.25">
      <c r="A96" t="s">
        <v>1852</v>
      </c>
      <c r="B96" s="9">
        <v>-300</v>
      </c>
      <c r="C96">
        <v>300</v>
      </c>
      <c r="D96" s="9" t="s">
        <v>1853</v>
      </c>
      <c r="F96" t="s">
        <v>3746</v>
      </c>
      <c r="G96" s="9" t="s">
        <v>3849</v>
      </c>
      <c r="I96" s="5" t="s">
        <v>4465</v>
      </c>
      <c r="J96" s="5" t="s">
        <v>6524</v>
      </c>
      <c r="K96" s="5" t="s">
        <v>3868</v>
      </c>
      <c r="M96" s="6"/>
      <c r="N96" s="5"/>
    </row>
    <row r="97" spans="1:16" x14ac:dyDescent="0.25">
      <c r="A97" t="s">
        <v>1854</v>
      </c>
      <c r="B97" s="9">
        <v>-300</v>
      </c>
      <c r="C97">
        <v>300</v>
      </c>
      <c r="D97" s="9" t="s">
        <v>1855</v>
      </c>
      <c r="F97" t="s">
        <v>3747</v>
      </c>
      <c r="G97" s="9" t="s">
        <v>3849</v>
      </c>
      <c r="I97" s="5" t="s">
        <v>4490</v>
      </c>
      <c r="J97" s="5" t="s">
        <v>6525</v>
      </c>
      <c r="K97" s="5" t="s">
        <v>3868</v>
      </c>
      <c r="M97" s="6"/>
      <c r="O97" s="25"/>
    </row>
    <row r="98" spans="1:16" x14ac:dyDescent="0.25">
      <c r="A98" t="s">
        <v>1856</v>
      </c>
      <c r="B98" s="9">
        <v>-300</v>
      </c>
      <c r="C98">
        <v>300</v>
      </c>
      <c r="D98" s="9" t="s">
        <v>1857</v>
      </c>
      <c r="F98" t="s">
        <v>3642</v>
      </c>
      <c r="G98" s="9" t="s">
        <v>3849</v>
      </c>
      <c r="I98" s="5" t="s">
        <v>4505</v>
      </c>
      <c r="J98" s="5" t="s">
        <v>6526</v>
      </c>
      <c r="K98" s="5" t="s">
        <v>3868</v>
      </c>
      <c r="M98" s="6"/>
      <c r="O98" s="25"/>
    </row>
    <row r="99" spans="1:16" x14ac:dyDescent="0.25">
      <c r="A99" t="s">
        <v>6527</v>
      </c>
      <c r="B99" s="9">
        <v>-300</v>
      </c>
      <c r="C99">
        <v>300</v>
      </c>
      <c r="G99" s="9" t="s">
        <v>3849</v>
      </c>
      <c r="I99" s="5" t="s">
        <v>6528</v>
      </c>
      <c r="J99" s="5" t="s">
        <v>6529</v>
      </c>
      <c r="K99" s="5" t="s">
        <v>3904</v>
      </c>
      <c r="M99" s="6"/>
      <c r="O99" s="25"/>
    </row>
    <row r="100" spans="1:16" x14ac:dyDescent="0.25">
      <c r="A100" t="s">
        <v>1858</v>
      </c>
      <c r="B100" s="9">
        <v>-300</v>
      </c>
      <c r="C100">
        <v>300</v>
      </c>
      <c r="D100" s="9" t="s">
        <v>1859</v>
      </c>
      <c r="F100" t="s">
        <v>3748</v>
      </c>
      <c r="G100" s="9" t="s">
        <v>3849</v>
      </c>
      <c r="I100" s="5" t="s">
        <v>4509</v>
      </c>
      <c r="J100" s="5" t="s">
        <v>6530</v>
      </c>
      <c r="K100" s="5" t="s">
        <v>3868</v>
      </c>
      <c r="M100" s="6"/>
      <c r="N100" s="5"/>
      <c r="O100" s="25"/>
    </row>
    <row r="101" spans="1:16" x14ac:dyDescent="0.25">
      <c r="A101" t="s">
        <v>1860</v>
      </c>
      <c r="B101" s="9">
        <v>-300</v>
      </c>
      <c r="C101">
        <v>300</v>
      </c>
      <c r="D101" s="9" t="s">
        <v>1861</v>
      </c>
      <c r="F101" t="s">
        <v>3750</v>
      </c>
      <c r="G101" s="9" t="s">
        <v>3849</v>
      </c>
      <c r="I101" s="5" t="s">
        <v>4511</v>
      </c>
      <c r="J101" s="5" t="s">
        <v>6531</v>
      </c>
      <c r="K101" s="5" t="s">
        <v>3904</v>
      </c>
      <c r="M101" s="6">
        <v>25</v>
      </c>
      <c r="N101" s="5"/>
    </row>
    <row r="102" spans="1:16" x14ac:dyDescent="0.25">
      <c r="A102" t="s">
        <v>1862</v>
      </c>
      <c r="B102" s="9">
        <v>-300</v>
      </c>
      <c r="C102">
        <v>300</v>
      </c>
      <c r="D102" s="9" t="s">
        <v>1863</v>
      </c>
      <c r="F102" t="s">
        <v>3752</v>
      </c>
      <c r="G102" s="9" t="s">
        <v>3849</v>
      </c>
      <c r="I102" s="5" t="s">
        <v>4512</v>
      </c>
      <c r="J102" s="5" t="s">
        <v>6535</v>
      </c>
      <c r="K102" s="5" t="s">
        <v>3868</v>
      </c>
      <c r="M102" s="6">
        <v>4</v>
      </c>
      <c r="N102" s="5"/>
      <c r="O102" s="25"/>
    </row>
    <row r="103" spans="1:16" x14ac:dyDescent="0.25">
      <c r="A103" t="s">
        <v>1864</v>
      </c>
      <c r="B103" s="9">
        <v>-300</v>
      </c>
      <c r="C103">
        <v>300</v>
      </c>
      <c r="D103" s="9" t="s">
        <v>6659</v>
      </c>
      <c r="E103" t="s">
        <v>6635</v>
      </c>
      <c r="F103" t="s">
        <v>3753</v>
      </c>
      <c r="G103" s="9" t="s">
        <v>3849</v>
      </c>
      <c r="I103" s="5" t="s">
        <v>4518</v>
      </c>
      <c r="J103" s="5" t="s">
        <v>6536</v>
      </c>
      <c r="K103" s="5" t="s">
        <v>3868</v>
      </c>
      <c r="M103" s="6"/>
      <c r="O103" s="25"/>
    </row>
    <row r="104" spans="1:16" x14ac:dyDescent="0.25">
      <c r="A104" t="s">
        <v>1866</v>
      </c>
      <c r="B104" s="9">
        <v>-300</v>
      </c>
      <c r="C104">
        <v>300</v>
      </c>
      <c r="D104" s="9" t="s">
        <v>1867</v>
      </c>
      <c r="F104" t="s">
        <v>3753</v>
      </c>
      <c r="G104" s="9" t="s">
        <v>3849</v>
      </c>
      <c r="I104" s="5" t="s">
        <v>4519</v>
      </c>
      <c r="J104" s="5" t="s">
        <v>6537</v>
      </c>
      <c r="K104" s="5" t="s">
        <v>3868</v>
      </c>
      <c r="M104" s="6">
        <v>134</v>
      </c>
      <c r="N104" s="5"/>
      <c r="O104" s="25"/>
    </row>
    <row r="105" spans="1:16" x14ac:dyDescent="0.25">
      <c r="A105" t="s">
        <v>1868</v>
      </c>
      <c r="B105" s="9">
        <v>-300</v>
      </c>
      <c r="C105">
        <v>300</v>
      </c>
      <c r="D105" s="9" t="s">
        <v>1869</v>
      </c>
      <c r="F105" t="s">
        <v>3755</v>
      </c>
      <c r="G105" s="9" t="s">
        <v>3849</v>
      </c>
      <c r="I105" s="5" t="s">
        <v>4536</v>
      </c>
      <c r="J105" s="5" t="s">
        <v>6538</v>
      </c>
      <c r="K105" s="5" t="s">
        <v>3904</v>
      </c>
      <c r="M105" s="6">
        <v>25</v>
      </c>
      <c r="N105" s="5"/>
      <c r="O105" s="25"/>
    </row>
    <row r="106" spans="1:16" s="1" customFormat="1" x14ac:dyDescent="0.25">
      <c r="A106" s="42" t="s">
        <v>1870</v>
      </c>
      <c r="B106" s="43">
        <v>-300</v>
      </c>
      <c r="C106" s="42">
        <v>300</v>
      </c>
      <c r="D106" s="43" t="s">
        <v>3599</v>
      </c>
      <c r="E106" s="42" t="s">
        <v>3599</v>
      </c>
      <c r="F106" s="42" t="s">
        <v>3839</v>
      </c>
      <c r="G106" s="9" t="s">
        <v>3849</v>
      </c>
      <c r="H106"/>
      <c r="I106" s="5" t="s">
        <v>4551</v>
      </c>
      <c r="J106" s="5" t="s">
        <v>6539</v>
      </c>
      <c r="K106" s="5" t="s">
        <v>4097</v>
      </c>
      <c r="L106" s="5" t="s">
        <v>6540</v>
      </c>
      <c r="M106" s="6"/>
      <c r="N106" s="5"/>
      <c r="O106"/>
      <c r="P106"/>
    </row>
    <row r="107" spans="1:16" s="1" customFormat="1" x14ac:dyDescent="0.25">
      <c r="A107" s="42" t="s">
        <v>1872</v>
      </c>
      <c r="B107" s="43">
        <v>-300</v>
      </c>
      <c r="C107" s="42">
        <v>300</v>
      </c>
      <c r="D107" s="43" t="s">
        <v>3598</v>
      </c>
      <c r="E107" s="42" t="s">
        <v>3598</v>
      </c>
      <c r="F107" s="42" t="s">
        <v>3839</v>
      </c>
      <c r="G107" s="9" t="s">
        <v>3849</v>
      </c>
      <c r="H107"/>
      <c r="I107" s="5" t="s">
        <v>4552</v>
      </c>
      <c r="J107" s="5" t="s">
        <v>6541</v>
      </c>
      <c r="K107" s="5" t="s">
        <v>4097</v>
      </c>
      <c r="L107" s="5" t="s">
        <v>6540</v>
      </c>
      <c r="M107" s="6"/>
    </row>
    <row r="108" spans="1:16" s="1" customFormat="1" x14ac:dyDescent="0.25">
      <c r="A108" s="42" t="s">
        <v>1874</v>
      </c>
      <c r="B108" s="43">
        <v>-300</v>
      </c>
      <c r="C108" s="42">
        <v>300</v>
      </c>
      <c r="D108" s="43" t="s">
        <v>3607</v>
      </c>
      <c r="E108" s="42" t="s">
        <v>3607</v>
      </c>
      <c r="F108" s="42" t="s">
        <v>3839</v>
      </c>
      <c r="G108" s="9" t="s">
        <v>3849</v>
      </c>
      <c r="H108"/>
      <c r="I108" s="5" t="s">
        <v>4553</v>
      </c>
      <c r="J108" s="5" t="s">
        <v>6542</v>
      </c>
      <c r="K108" s="5" t="s">
        <v>4097</v>
      </c>
      <c r="L108" s="5" t="s">
        <v>6540</v>
      </c>
      <c r="M108" s="6"/>
      <c r="N108"/>
      <c r="O108" s="25"/>
      <c r="P108"/>
    </row>
    <row r="109" spans="1:16" x14ac:dyDescent="0.25">
      <c r="A109" t="s">
        <v>1876</v>
      </c>
      <c r="B109" s="9">
        <v>-300</v>
      </c>
      <c r="C109">
        <v>300</v>
      </c>
      <c r="D109" s="9" t="s">
        <v>1877</v>
      </c>
      <c r="F109" t="s">
        <v>3756</v>
      </c>
      <c r="G109" s="9" t="s">
        <v>3849</v>
      </c>
      <c r="I109" s="5" t="s">
        <v>4555</v>
      </c>
      <c r="J109" s="5" t="s">
        <v>6543</v>
      </c>
      <c r="K109" s="5" t="s">
        <v>3868</v>
      </c>
      <c r="M109" s="6"/>
      <c r="N109" s="5"/>
      <c r="O109" s="25"/>
    </row>
    <row r="110" spans="1:16" x14ac:dyDescent="0.25">
      <c r="A110" t="s">
        <v>1878</v>
      </c>
      <c r="B110" s="9">
        <v>-300</v>
      </c>
      <c r="C110">
        <v>300</v>
      </c>
      <c r="D110" s="9" t="s">
        <v>1879</v>
      </c>
      <c r="F110" t="s">
        <v>3758</v>
      </c>
      <c r="G110" s="9" t="s">
        <v>3849</v>
      </c>
      <c r="I110" s="5" t="s">
        <v>4566</v>
      </c>
      <c r="J110" s="5" t="s">
        <v>6544</v>
      </c>
      <c r="K110" s="5" t="s">
        <v>3868</v>
      </c>
      <c r="M110" s="6">
        <v>5</v>
      </c>
      <c r="N110" s="5"/>
    </row>
    <row r="111" spans="1:16" x14ac:dyDescent="0.25">
      <c r="A111" t="s">
        <v>1880</v>
      </c>
      <c r="B111" s="9">
        <v>-300</v>
      </c>
      <c r="C111">
        <v>300</v>
      </c>
      <c r="D111" s="9" t="s">
        <v>6660</v>
      </c>
      <c r="E111" t="s">
        <v>6635</v>
      </c>
      <c r="F111" t="s">
        <v>3759</v>
      </c>
      <c r="G111" s="9" t="s">
        <v>3849</v>
      </c>
      <c r="I111" s="5" t="s">
        <v>4572</v>
      </c>
      <c r="J111" s="5" t="s">
        <v>6545</v>
      </c>
      <c r="K111" s="5" t="s">
        <v>3868</v>
      </c>
      <c r="M111" s="6"/>
      <c r="N111" s="5"/>
      <c r="O111" s="25"/>
    </row>
    <row r="112" spans="1:16" x14ac:dyDescent="0.25">
      <c r="A112" t="s">
        <v>1882</v>
      </c>
      <c r="B112" s="9">
        <v>-300</v>
      </c>
      <c r="C112">
        <v>300</v>
      </c>
      <c r="D112" s="9" t="s">
        <v>1883</v>
      </c>
      <c r="F112" t="s">
        <v>3759</v>
      </c>
      <c r="G112" s="9" t="s">
        <v>3849</v>
      </c>
      <c r="I112" s="5" t="s">
        <v>4573</v>
      </c>
      <c r="J112" s="5" t="s">
        <v>6546</v>
      </c>
      <c r="K112" s="5" t="s">
        <v>3868</v>
      </c>
      <c r="M112" s="6"/>
      <c r="N112" s="5"/>
      <c r="O112" s="25"/>
    </row>
    <row r="113" spans="1:16" x14ac:dyDescent="0.25">
      <c r="A113" t="s">
        <v>1884</v>
      </c>
      <c r="B113" s="9">
        <v>-300</v>
      </c>
      <c r="C113">
        <v>300</v>
      </c>
      <c r="D113" s="9" t="s">
        <v>1885</v>
      </c>
      <c r="F113" t="s">
        <v>3760</v>
      </c>
      <c r="G113" s="9" t="s">
        <v>3849</v>
      </c>
      <c r="I113" s="5" t="s">
        <v>4580</v>
      </c>
      <c r="J113" s="5" t="s">
        <v>6547</v>
      </c>
      <c r="K113" s="5" t="s">
        <v>3868</v>
      </c>
      <c r="M113" s="6" t="s">
        <v>6548</v>
      </c>
      <c r="N113" s="5"/>
      <c r="O113" s="25"/>
    </row>
    <row r="114" spans="1:16" x14ac:dyDescent="0.25">
      <c r="A114" t="s">
        <v>1886</v>
      </c>
      <c r="B114" s="9">
        <v>-300</v>
      </c>
      <c r="C114">
        <v>300</v>
      </c>
      <c r="D114" s="9" t="s">
        <v>1887</v>
      </c>
      <c r="F114" t="s">
        <v>3643</v>
      </c>
      <c r="G114" s="9" t="s">
        <v>3849</v>
      </c>
      <c r="I114" s="5" t="s">
        <v>4583</v>
      </c>
      <c r="J114" s="5" t="s">
        <v>5269</v>
      </c>
      <c r="K114" s="5" t="s">
        <v>3868</v>
      </c>
      <c r="M114" s="6">
        <v>75</v>
      </c>
      <c r="N114" s="1"/>
      <c r="O114" s="1"/>
      <c r="P114" s="1"/>
    </row>
    <row r="115" spans="1:16" x14ac:dyDescent="0.25">
      <c r="A115" t="s">
        <v>1888</v>
      </c>
      <c r="B115" s="9">
        <v>-300</v>
      </c>
      <c r="C115">
        <v>300</v>
      </c>
      <c r="D115" s="9" t="s">
        <v>6661</v>
      </c>
      <c r="E115" t="s">
        <v>6635</v>
      </c>
      <c r="F115" t="s">
        <v>3761</v>
      </c>
      <c r="G115" s="9" t="s">
        <v>3849</v>
      </c>
      <c r="I115" s="5" t="s">
        <v>4596</v>
      </c>
      <c r="J115" s="5" t="s">
        <v>6549</v>
      </c>
      <c r="K115" s="5" t="s">
        <v>3868</v>
      </c>
      <c r="M115" s="6"/>
      <c r="N115" s="1"/>
      <c r="O115" s="1"/>
      <c r="P115" s="1"/>
    </row>
    <row r="116" spans="1:16" x14ac:dyDescent="0.25">
      <c r="A116" t="s">
        <v>1890</v>
      </c>
      <c r="B116" s="9">
        <v>-300</v>
      </c>
      <c r="C116">
        <v>300</v>
      </c>
      <c r="D116" s="9" t="s">
        <v>1891</v>
      </c>
      <c r="F116" t="s">
        <v>3762</v>
      </c>
      <c r="G116" s="9" t="s">
        <v>3849</v>
      </c>
      <c r="I116" s="5" t="s">
        <v>4609</v>
      </c>
      <c r="J116" s="5" t="s">
        <v>6550</v>
      </c>
      <c r="K116" s="5" t="s">
        <v>3868</v>
      </c>
      <c r="M116" s="6"/>
      <c r="N116" s="5"/>
    </row>
    <row r="117" spans="1:16" x14ac:dyDescent="0.25">
      <c r="A117" t="s">
        <v>4614</v>
      </c>
      <c r="B117" s="9">
        <v>-300</v>
      </c>
      <c r="C117">
        <v>300</v>
      </c>
      <c r="G117" s="9" t="s">
        <v>3849</v>
      </c>
      <c r="I117" s="5" t="s">
        <v>4612</v>
      </c>
      <c r="J117" s="5" t="s">
        <v>5270</v>
      </c>
      <c r="K117" s="5" t="s">
        <v>3870</v>
      </c>
      <c r="L117" s="5" t="s">
        <v>4613</v>
      </c>
      <c r="M117" s="6"/>
      <c r="N117" s="5"/>
      <c r="O117" s="25"/>
    </row>
    <row r="118" spans="1:16" x14ac:dyDescent="0.25">
      <c r="A118" t="s">
        <v>1892</v>
      </c>
      <c r="B118" s="9">
        <v>-300</v>
      </c>
      <c r="C118">
        <v>300</v>
      </c>
      <c r="D118" s="9" t="s">
        <v>1893</v>
      </c>
      <c r="F118" t="s">
        <v>3763</v>
      </c>
      <c r="G118" s="9" t="s">
        <v>3849</v>
      </c>
      <c r="I118" s="5" t="s">
        <v>4617</v>
      </c>
      <c r="J118" s="5" t="s">
        <v>6551</v>
      </c>
      <c r="K118" s="5" t="s">
        <v>3868</v>
      </c>
      <c r="M118" s="6"/>
      <c r="O118" s="25"/>
    </row>
    <row r="119" spans="1:16" x14ac:dyDescent="0.25">
      <c r="A119" t="s">
        <v>1894</v>
      </c>
      <c r="B119" s="9">
        <v>-300</v>
      </c>
      <c r="C119">
        <v>300</v>
      </c>
      <c r="D119" s="9" t="s">
        <v>6662</v>
      </c>
      <c r="E119" t="s">
        <v>6635</v>
      </c>
      <c r="F119" t="s">
        <v>3764</v>
      </c>
      <c r="G119" s="9" t="s">
        <v>3849</v>
      </c>
      <c r="I119" s="5" t="s">
        <v>4621</v>
      </c>
      <c r="J119" s="5" t="s">
        <v>6552</v>
      </c>
      <c r="K119" s="5" t="s">
        <v>3868</v>
      </c>
      <c r="M119" s="6"/>
      <c r="O119" s="25"/>
    </row>
    <row r="120" spans="1:16" x14ac:dyDescent="0.25">
      <c r="A120" t="s">
        <v>1896</v>
      </c>
      <c r="B120" s="9">
        <v>-300</v>
      </c>
      <c r="C120">
        <v>300</v>
      </c>
      <c r="D120" s="9" t="s">
        <v>1897</v>
      </c>
      <c r="F120" t="s">
        <v>3764</v>
      </c>
      <c r="G120" s="9" t="s">
        <v>3849</v>
      </c>
      <c r="I120" s="5" t="s">
        <v>4622</v>
      </c>
      <c r="J120" s="5" t="s">
        <v>6553</v>
      </c>
      <c r="K120" s="5" t="s">
        <v>3868</v>
      </c>
      <c r="M120" s="6"/>
      <c r="N120" s="5"/>
      <c r="O120" s="25"/>
    </row>
    <row r="121" spans="1:16" x14ac:dyDescent="0.25">
      <c r="A121" t="s">
        <v>1898</v>
      </c>
      <c r="B121" s="9">
        <v>-300</v>
      </c>
      <c r="C121">
        <v>300</v>
      </c>
      <c r="D121" s="9" t="s">
        <v>1899</v>
      </c>
      <c r="F121" t="s">
        <v>3766</v>
      </c>
      <c r="G121" s="9" t="s">
        <v>3849</v>
      </c>
      <c r="I121" s="5" t="s">
        <v>4629</v>
      </c>
      <c r="J121" s="5" t="s">
        <v>6554</v>
      </c>
      <c r="K121" s="5" t="s">
        <v>3868</v>
      </c>
      <c r="M121" s="6">
        <v>76</v>
      </c>
      <c r="N121" s="5"/>
    </row>
    <row r="122" spans="1:16" x14ac:dyDescent="0.25">
      <c r="A122" t="s">
        <v>1900</v>
      </c>
      <c r="B122" s="9">
        <v>-300</v>
      </c>
      <c r="C122">
        <v>300</v>
      </c>
      <c r="D122" s="9" t="s">
        <v>6663</v>
      </c>
      <c r="E122" t="s">
        <v>6635</v>
      </c>
      <c r="F122" t="s">
        <v>3767</v>
      </c>
      <c r="G122" s="9" t="s">
        <v>3849</v>
      </c>
      <c r="I122" s="5" t="s">
        <v>4637</v>
      </c>
      <c r="J122" s="5" t="s">
        <v>6555</v>
      </c>
      <c r="K122" s="5" t="s">
        <v>3868</v>
      </c>
      <c r="M122" s="6"/>
      <c r="O122" s="25"/>
    </row>
    <row r="123" spans="1:16" x14ac:dyDescent="0.25">
      <c r="A123" t="s">
        <v>1902</v>
      </c>
      <c r="B123" s="9">
        <v>-300</v>
      </c>
      <c r="C123">
        <v>300</v>
      </c>
      <c r="D123" s="9" t="s">
        <v>1903</v>
      </c>
      <c r="F123" t="s">
        <v>3768</v>
      </c>
      <c r="G123" s="9" t="s">
        <v>3849</v>
      </c>
      <c r="I123" s="5" t="s">
        <v>4640</v>
      </c>
      <c r="J123" s="5" t="s">
        <v>6556</v>
      </c>
      <c r="K123" s="5" t="s">
        <v>3868</v>
      </c>
      <c r="M123" s="6"/>
      <c r="O123" s="25"/>
    </row>
    <row r="124" spans="1:16" x14ac:dyDescent="0.25">
      <c r="A124" t="s">
        <v>1904</v>
      </c>
      <c r="B124" s="9">
        <v>-300</v>
      </c>
      <c r="C124">
        <v>300</v>
      </c>
      <c r="D124" s="9" t="s">
        <v>1905</v>
      </c>
      <c r="F124" t="s">
        <v>3645</v>
      </c>
      <c r="G124" s="9" t="s">
        <v>3849</v>
      </c>
      <c r="I124" s="5" t="s">
        <v>4646</v>
      </c>
      <c r="J124" s="5" t="s">
        <v>6557</v>
      </c>
      <c r="K124" s="5" t="s">
        <v>3868</v>
      </c>
      <c r="M124" s="6">
        <v>53</v>
      </c>
      <c r="O124" s="25"/>
    </row>
    <row r="125" spans="1:16" x14ac:dyDescent="0.25">
      <c r="A125" t="s">
        <v>4647</v>
      </c>
      <c r="B125" s="9">
        <v>-300</v>
      </c>
      <c r="C125">
        <v>300</v>
      </c>
      <c r="G125" s="9" t="s">
        <v>3849</v>
      </c>
      <c r="I125" s="5" t="s">
        <v>4648</v>
      </c>
      <c r="J125" s="5" t="s">
        <v>5271</v>
      </c>
      <c r="K125" s="5" t="s">
        <v>3868</v>
      </c>
      <c r="M125" s="6">
        <v>53</v>
      </c>
      <c r="N125" s="5"/>
      <c r="O125" s="25"/>
    </row>
    <row r="126" spans="1:16" x14ac:dyDescent="0.25">
      <c r="A126" t="s">
        <v>1906</v>
      </c>
      <c r="B126" s="9">
        <v>-300</v>
      </c>
      <c r="C126">
        <v>300</v>
      </c>
      <c r="D126" s="9" t="s">
        <v>6664</v>
      </c>
      <c r="E126" t="s">
        <v>6635</v>
      </c>
      <c r="F126" t="s">
        <v>3769</v>
      </c>
      <c r="G126" s="9" t="s">
        <v>3849</v>
      </c>
      <c r="I126" s="5" t="s">
        <v>4649</v>
      </c>
      <c r="J126" s="5" t="s">
        <v>6558</v>
      </c>
      <c r="K126" s="5" t="s">
        <v>3868</v>
      </c>
      <c r="M126" s="6">
        <v>10</v>
      </c>
      <c r="N126" s="5"/>
    </row>
    <row r="127" spans="1:16" x14ac:dyDescent="0.25">
      <c r="A127" t="s">
        <v>1908</v>
      </c>
      <c r="B127" s="9">
        <v>-300</v>
      </c>
      <c r="C127">
        <v>300</v>
      </c>
      <c r="D127" s="9" t="s">
        <v>6665</v>
      </c>
      <c r="E127" t="s">
        <v>6635</v>
      </c>
      <c r="F127" t="s">
        <v>3770</v>
      </c>
      <c r="G127" s="9" t="s">
        <v>3849</v>
      </c>
      <c r="I127" s="5" t="s">
        <v>4650</v>
      </c>
      <c r="J127" s="5" t="s">
        <v>6559</v>
      </c>
      <c r="K127" s="5" t="s">
        <v>3868</v>
      </c>
      <c r="M127" s="6">
        <v>10</v>
      </c>
      <c r="N127" s="5"/>
      <c r="O127" s="25"/>
    </row>
    <row r="128" spans="1:16" x14ac:dyDescent="0.25">
      <c r="A128" t="s">
        <v>1910</v>
      </c>
      <c r="B128" s="9">
        <v>-300</v>
      </c>
      <c r="C128">
        <v>300</v>
      </c>
      <c r="D128" s="9" t="s">
        <v>6666</v>
      </c>
      <c r="E128" t="s">
        <v>6635</v>
      </c>
      <c r="F128" t="s">
        <v>3771</v>
      </c>
      <c r="G128" s="9" t="s">
        <v>3849</v>
      </c>
      <c r="I128" s="5" t="s">
        <v>4651</v>
      </c>
      <c r="J128" s="5" t="s">
        <v>6560</v>
      </c>
      <c r="K128" s="5" t="s">
        <v>3868</v>
      </c>
      <c r="M128" s="6">
        <v>10</v>
      </c>
      <c r="N128" s="5"/>
      <c r="O128" s="25"/>
    </row>
    <row r="129" spans="1:15" x14ac:dyDescent="0.25">
      <c r="A129" t="s">
        <v>1912</v>
      </c>
      <c r="B129" s="9">
        <v>-300</v>
      </c>
      <c r="C129">
        <v>300</v>
      </c>
      <c r="D129" s="9" t="s">
        <v>3590</v>
      </c>
      <c r="E129" t="s">
        <v>3623</v>
      </c>
      <c r="F129" t="s">
        <v>3769</v>
      </c>
      <c r="G129" s="9" t="s">
        <v>3849</v>
      </c>
      <c r="I129" s="5" t="s">
        <v>4652</v>
      </c>
      <c r="J129" s="5" t="s">
        <v>6561</v>
      </c>
      <c r="K129" s="5" t="s">
        <v>3868</v>
      </c>
      <c r="M129" s="6">
        <v>139</v>
      </c>
      <c r="O129" s="25"/>
    </row>
    <row r="130" spans="1:15" x14ac:dyDescent="0.25">
      <c r="A130" t="s">
        <v>1914</v>
      </c>
      <c r="B130" s="9">
        <v>-300</v>
      </c>
      <c r="C130">
        <v>300</v>
      </c>
      <c r="D130" s="9" t="s">
        <v>6667</v>
      </c>
      <c r="E130" t="s">
        <v>6635</v>
      </c>
      <c r="F130" t="s">
        <v>3772</v>
      </c>
      <c r="G130" s="9" t="s">
        <v>3849</v>
      </c>
      <c r="I130" s="5" t="s">
        <v>4653</v>
      </c>
      <c r="J130" s="5" t="s">
        <v>6562</v>
      </c>
      <c r="K130" s="5" t="s">
        <v>3868</v>
      </c>
      <c r="M130" s="6">
        <v>10</v>
      </c>
      <c r="O130" s="25"/>
    </row>
    <row r="131" spans="1:15" x14ac:dyDescent="0.25">
      <c r="A131" t="s">
        <v>1916</v>
      </c>
      <c r="B131" s="9">
        <v>-300</v>
      </c>
      <c r="C131">
        <v>300</v>
      </c>
      <c r="D131" s="9" t="s">
        <v>6668</v>
      </c>
      <c r="E131" t="s">
        <v>6635</v>
      </c>
      <c r="F131" t="s">
        <v>3773</v>
      </c>
      <c r="G131" s="9" t="s">
        <v>3849</v>
      </c>
      <c r="I131" s="5" t="s">
        <v>4654</v>
      </c>
      <c r="J131" s="5" t="s">
        <v>6563</v>
      </c>
      <c r="K131" s="5" t="s">
        <v>3868</v>
      </c>
      <c r="M131" s="6">
        <v>10</v>
      </c>
      <c r="N131" s="5"/>
      <c r="O131" s="25"/>
    </row>
    <row r="132" spans="1:15" x14ac:dyDescent="0.25">
      <c r="A132" t="s">
        <v>1918</v>
      </c>
      <c r="B132" s="9">
        <v>-300</v>
      </c>
      <c r="C132">
        <v>300</v>
      </c>
      <c r="D132" s="9" t="s">
        <v>6669</v>
      </c>
      <c r="F132" t="s">
        <v>6670</v>
      </c>
      <c r="G132" s="9" t="s">
        <v>3849</v>
      </c>
      <c r="I132" s="5" t="s">
        <v>4659</v>
      </c>
      <c r="J132" s="5" t="s">
        <v>6564</v>
      </c>
      <c r="K132" s="5" t="s">
        <v>3868</v>
      </c>
      <c r="M132" s="6">
        <v>135</v>
      </c>
      <c r="N132" s="5"/>
      <c r="O132" s="25"/>
    </row>
    <row r="133" spans="1:15" x14ac:dyDescent="0.25">
      <c r="A133" t="s">
        <v>1920</v>
      </c>
      <c r="B133" s="9">
        <v>-300</v>
      </c>
      <c r="C133">
        <v>300</v>
      </c>
      <c r="D133" s="9" t="s">
        <v>3592</v>
      </c>
      <c r="E133" t="s">
        <v>3624</v>
      </c>
      <c r="F133" t="s">
        <v>3776</v>
      </c>
      <c r="G133" s="9" t="s">
        <v>3849</v>
      </c>
      <c r="I133" s="5" t="s">
        <v>4662</v>
      </c>
      <c r="J133" s="5" t="s">
        <v>6565</v>
      </c>
      <c r="K133" s="5" t="s">
        <v>3868</v>
      </c>
      <c r="M133" s="6">
        <v>132</v>
      </c>
    </row>
    <row r="134" spans="1:15" x14ac:dyDescent="0.25">
      <c r="A134" t="s">
        <v>1922</v>
      </c>
      <c r="B134" s="9">
        <v>-300</v>
      </c>
      <c r="C134">
        <v>300</v>
      </c>
      <c r="D134" s="9" t="s">
        <v>1923</v>
      </c>
      <c r="F134" t="s">
        <v>3777</v>
      </c>
      <c r="G134" s="9" t="s">
        <v>3849</v>
      </c>
      <c r="I134" s="5" t="s">
        <v>4683</v>
      </c>
      <c r="J134" s="5" t="s">
        <v>6566</v>
      </c>
      <c r="K134" s="5" t="s">
        <v>3868</v>
      </c>
      <c r="M134" s="6">
        <v>36</v>
      </c>
    </row>
    <row r="135" spans="1:15" x14ac:dyDescent="0.25">
      <c r="A135" t="s">
        <v>1924</v>
      </c>
      <c r="B135" s="9">
        <v>-300</v>
      </c>
      <c r="C135">
        <v>300</v>
      </c>
      <c r="D135" s="9" t="s">
        <v>6671</v>
      </c>
      <c r="E135" t="s">
        <v>6635</v>
      </c>
      <c r="F135" t="s">
        <v>3778</v>
      </c>
      <c r="G135" s="9" t="s">
        <v>3849</v>
      </c>
      <c r="I135" s="5" t="s">
        <v>4685</v>
      </c>
      <c r="J135" s="5" t="s">
        <v>6567</v>
      </c>
      <c r="K135" s="5" t="s">
        <v>3868</v>
      </c>
      <c r="M135" s="6">
        <v>72</v>
      </c>
    </row>
    <row r="136" spans="1:15" x14ac:dyDescent="0.25">
      <c r="A136" t="s">
        <v>1926</v>
      </c>
      <c r="B136" s="9">
        <v>-300</v>
      </c>
      <c r="C136">
        <v>300</v>
      </c>
      <c r="D136" s="9" t="s">
        <v>6672</v>
      </c>
      <c r="E136" t="s">
        <v>6635</v>
      </c>
      <c r="F136" t="s">
        <v>3779</v>
      </c>
      <c r="G136" s="9" t="s">
        <v>3849</v>
      </c>
      <c r="I136" s="5" t="s">
        <v>4688</v>
      </c>
      <c r="J136" s="5" t="s">
        <v>6568</v>
      </c>
      <c r="K136" s="5" t="s">
        <v>3868</v>
      </c>
      <c r="M136" s="6">
        <v>72</v>
      </c>
    </row>
    <row r="137" spans="1:15" x14ac:dyDescent="0.25">
      <c r="A137" t="s">
        <v>1928</v>
      </c>
      <c r="B137" s="9">
        <v>-300</v>
      </c>
      <c r="C137">
        <v>300</v>
      </c>
      <c r="D137" s="9" t="s">
        <v>3593</v>
      </c>
      <c r="E137" t="s">
        <v>3625</v>
      </c>
      <c r="F137" t="s">
        <v>3780</v>
      </c>
      <c r="G137" s="9" t="s">
        <v>3849</v>
      </c>
      <c r="I137" s="5" t="s">
        <v>4711</v>
      </c>
      <c r="J137" s="5" t="s">
        <v>6569</v>
      </c>
      <c r="K137" s="5" t="s">
        <v>3868</v>
      </c>
      <c r="M137" s="6"/>
    </row>
    <row r="138" spans="1:15" x14ac:dyDescent="0.25">
      <c r="A138" t="s">
        <v>1930</v>
      </c>
      <c r="B138" s="9">
        <v>-300</v>
      </c>
      <c r="C138">
        <v>300</v>
      </c>
      <c r="D138" s="9" t="s">
        <v>1931</v>
      </c>
      <c r="F138" t="s">
        <v>3782</v>
      </c>
      <c r="G138" s="9" t="s">
        <v>3849</v>
      </c>
      <c r="I138" s="5" t="s">
        <v>4729</v>
      </c>
      <c r="J138" s="5" t="s">
        <v>6570</v>
      </c>
      <c r="K138" s="5" t="s">
        <v>3868</v>
      </c>
      <c r="M138" s="6"/>
    </row>
    <row r="139" spans="1:15" x14ac:dyDescent="0.25">
      <c r="A139" s="42" t="s">
        <v>1932</v>
      </c>
      <c r="B139" s="43">
        <v>-300</v>
      </c>
      <c r="C139" s="42">
        <v>300</v>
      </c>
      <c r="D139" s="43" t="s">
        <v>3606</v>
      </c>
      <c r="E139" s="42" t="s">
        <v>3632</v>
      </c>
      <c r="F139" s="42" t="s">
        <v>3842</v>
      </c>
      <c r="G139" s="43" t="s">
        <v>3849</v>
      </c>
      <c r="I139" s="5" t="s">
        <v>4736</v>
      </c>
      <c r="J139" s="5" t="s">
        <v>6571</v>
      </c>
      <c r="K139" s="5" t="s">
        <v>4097</v>
      </c>
      <c r="L139" s="5" t="s">
        <v>4734</v>
      </c>
      <c r="M139" s="6"/>
    </row>
    <row r="140" spans="1:15" x14ac:dyDescent="0.25">
      <c r="A140" s="42" t="s">
        <v>1933</v>
      </c>
      <c r="B140" s="43">
        <v>-300</v>
      </c>
      <c r="C140" s="42">
        <v>300</v>
      </c>
      <c r="D140" s="43" t="s">
        <v>3605</v>
      </c>
      <c r="E140" s="42" t="s">
        <v>3631</v>
      </c>
      <c r="F140" s="42" t="s">
        <v>3842</v>
      </c>
      <c r="G140" s="43" t="s">
        <v>3849</v>
      </c>
      <c r="I140" s="5" t="s">
        <v>4737</v>
      </c>
      <c r="J140" s="5" t="s">
        <v>6572</v>
      </c>
      <c r="K140" s="5" t="s">
        <v>4097</v>
      </c>
      <c r="L140" s="5" t="s">
        <v>4734</v>
      </c>
      <c r="M140" s="6"/>
    </row>
    <row r="141" spans="1:15" x14ac:dyDescent="0.25">
      <c r="A141" s="42" t="s">
        <v>1934</v>
      </c>
      <c r="B141" s="43">
        <v>-300</v>
      </c>
      <c r="C141" s="42">
        <v>300</v>
      </c>
      <c r="D141" s="43" t="s">
        <v>3608</v>
      </c>
      <c r="E141" s="42" t="s">
        <v>3633</v>
      </c>
      <c r="F141" s="42" t="s">
        <v>3842</v>
      </c>
      <c r="G141" s="43" t="s">
        <v>3849</v>
      </c>
      <c r="I141" s="5" t="s">
        <v>4738</v>
      </c>
      <c r="J141" s="5" t="s">
        <v>6573</v>
      </c>
      <c r="K141" s="5" t="s">
        <v>4097</v>
      </c>
      <c r="L141" s="5" t="s">
        <v>4734</v>
      </c>
      <c r="M141" s="6"/>
    </row>
    <row r="142" spans="1:15" x14ac:dyDescent="0.25">
      <c r="A142" t="s">
        <v>1935</v>
      </c>
      <c r="B142" s="9">
        <v>-300</v>
      </c>
      <c r="C142">
        <v>300</v>
      </c>
      <c r="D142" s="9" t="s">
        <v>1938</v>
      </c>
      <c r="F142" t="s">
        <v>3784</v>
      </c>
      <c r="G142" s="9" t="s">
        <v>3849</v>
      </c>
      <c r="I142" s="5" t="s">
        <v>4746</v>
      </c>
      <c r="J142" s="5" t="s">
        <v>6574</v>
      </c>
      <c r="K142" s="5" t="s">
        <v>3868</v>
      </c>
      <c r="M142" s="6"/>
    </row>
    <row r="143" spans="1:15" x14ac:dyDescent="0.25">
      <c r="A143" t="s">
        <v>1937</v>
      </c>
      <c r="B143" s="9">
        <v>-300</v>
      </c>
      <c r="C143">
        <v>300</v>
      </c>
      <c r="G143" s="9" t="s">
        <v>3849</v>
      </c>
      <c r="I143" s="5" t="s">
        <v>4747</v>
      </c>
      <c r="J143" s="5" t="s">
        <v>6575</v>
      </c>
      <c r="K143" s="5" t="s">
        <v>3868</v>
      </c>
      <c r="M143" s="6"/>
    </row>
    <row r="144" spans="1:15" x14ac:dyDescent="0.25">
      <c r="A144" t="s">
        <v>4748</v>
      </c>
      <c r="B144" s="9">
        <v>-300</v>
      </c>
      <c r="C144">
        <v>300</v>
      </c>
      <c r="G144" s="9" t="s">
        <v>3849</v>
      </c>
      <c r="I144" s="5" t="s">
        <v>4749</v>
      </c>
      <c r="J144" s="5" t="s">
        <v>5272</v>
      </c>
      <c r="K144" s="5" t="s">
        <v>3868</v>
      </c>
      <c r="M144" s="6"/>
    </row>
    <row r="145" spans="1:16" x14ac:dyDescent="0.25">
      <c r="A145" t="s">
        <v>1939</v>
      </c>
      <c r="B145" s="9">
        <v>-300</v>
      </c>
      <c r="C145">
        <v>300</v>
      </c>
      <c r="D145" s="9" t="s">
        <v>1940</v>
      </c>
      <c r="F145" t="s">
        <v>3786</v>
      </c>
      <c r="G145" s="9" t="s">
        <v>3849</v>
      </c>
      <c r="I145" s="5" t="s">
        <v>4759</v>
      </c>
      <c r="J145" s="5" t="s">
        <v>6576</v>
      </c>
      <c r="K145" s="5" t="s">
        <v>3868</v>
      </c>
      <c r="M145" s="6">
        <v>103</v>
      </c>
    </row>
    <row r="146" spans="1:16" x14ac:dyDescent="0.25">
      <c r="A146" t="s">
        <v>1941</v>
      </c>
      <c r="B146" s="9">
        <v>-300</v>
      </c>
      <c r="C146">
        <v>300</v>
      </c>
      <c r="D146" s="9" t="s">
        <v>1942</v>
      </c>
      <c r="F146" t="s">
        <v>3788</v>
      </c>
      <c r="G146" s="9" t="s">
        <v>3849</v>
      </c>
      <c r="I146" s="5" t="s">
        <v>4766</v>
      </c>
      <c r="J146" s="5" t="s">
        <v>6577</v>
      </c>
      <c r="K146" s="5" t="s">
        <v>3868</v>
      </c>
      <c r="M146" s="6"/>
    </row>
    <row r="147" spans="1:16" x14ac:dyDescent="0.25">
      <c r="A147" t="s">
        <v>1943</v>
      </c>
      <c r="B147" s="9">
        <v>-300</v>
      </c>
      <c r="C147">
        <v>300</v>
      </c>
      <c r="D147" s="9" t="s">
        <v>3611</v>
      </c>
      <c r="E147" t="s">
        <v>3634</v>
      </c>
      <c r="F147" t="s">
        <v>3846</v>
      </c>
      <c r="G147" s="9" t="s">
        <v>3849</v>
      </c>
      <c r="I147" s="5" t="s">
        <v>4767</v>
      </c>
      <c r="J147" s="5" t="s">
        <v>6578</v>
      </c>
      <c r="K147" s="5" t="s">
        <v>3868</v>
      </c>
      <c r="L147" s="5" t="s">
        <v>4765</v>
      </c>
      <c r="M147" s="6">
        <v>137</v>
      </c>
    </row>
    <row r="148" spans="1:16" x14ac:dyDescent="0.25">
      <c r="A148" t="s">
        <v>1945</v>
      </c>
      <c r="B148" s="9">
        <v>-300</v>
      </c>
      <c r="C148">
        <v>300</v>
      </c>
      <c r="D148" s="9" t="s">
        <v>1946</v>
      </c>
      <c r="F148" t="s">
        <v>3789</v>
      </c>
      <c r="G148" s="9" t="s">
        <v>3849</v>
      </c>
      <c r="I148" s="5" t="s">
        <v>4775</v>
      </c>
      <c r="J148" s="5" t="s">
        <v>6579</v>
      </c>
      <c r="K148" s="5" t="s">
        <v>3868</v>
      </c>
      <c r="M148" s="6">
        <v>18</v>
      </c>
    </row>
    <row r="149" spans="1:16" s="1" customFormat="1" x14ac:dyDescent="0.25">
      <c r="A149" s="42" t="s">
        <v>1947</v>
      </c>
      <c r="B149" s="43">
        <v>-300</v>
      </c>
      <c r="C149" s="42">
        <v>300</v>
      </c>
      <c r="D149" s="43" t="s">
        <v>3602</v>
      </c>
      <c r="E149" s="42" t="s">
        <v>1948</v>
      </c>
      <c r="F149" s="42" t="s">
        <v>3840</v>
      </c>
      <c r="G149" s="43" t="s">
        <v>3849</v>
      </c>
      <c r="H149"/>
      <c r="I149" s="5" t="s">
        <v>4776</v>
      </c>
      <c r="J149" s="5" t="s">
        <v>6580</v>
      </c>
      <c r="K149" s="5" t="s">
        <v>4097</v>
      </c>
      <c r="L149" s="5" t="s">
        <v>6581</v>
      </c>
      <c r="M149" s="6"/>
      <c r="N149"/>
      <c r="O149"/>
      <c r="P149"/>
    </row>
    <row r="150" spans="1:16" s="1" customFormat="1" x14ac:dyDescent="0.25">
      <c r="A150" s="42" t="s">
        <v>1949</v>
      </c>
      <c r="B150" s="43">
        <v>-300</v>
      </c>
      <c r="C150" s="42">
        <v>300</v>
      </c>
      <c r="D150" s="43" t="s">
        <v>3600</v>
      </c>
      <c r="E150" s="42" t="s">
        <v>3600</v>
      </c>
      <c r="F150" s="42" t="s">
        <v>3840</v>
      </c>
      <c r="G150" s="43" t="s">
        <v>3849</v>
      </c>
      <c r="H150"/>
      <c r="I150" s="5" t="s">
        <v>4777</v>
      </c>
      <c r="J150" s="5" t="s">
        <v>6582</v>
      </c>
      <c r="K150" s="5" t="s">
        <v>4097</v>
      </c>
      <c r="L150" s="5"/>
      <c r="M150" s="6"/>
      <c r="N150"/>
      <c r="O150"/>
      <c r="P150"/>
    </row>
    <row r="151" spans="1:16" x14ac:dyDescent="0.25">
      <c r="A151" t="s">
        <v>1951</v>
      </c>
      <c r="B151" s="9">
        <v>-300</v>
      </c>
      <c r="C151">
        <v>300</v>
      </c>
      <c r="D151" s="9" t="s">
        <v>3594</v>
      </c>
      <c r="F151" t="s">
        <v>3791</v>
      </c>
      <c r="G151" s="9" t="s">
        <v>3849</v>
      </c>
      <c r="I151" s="5" t="s">
        <v>4778</v>
      </c>
      <c r="J151" s="5" t="s">
        <v>6583</v>
      </c>
      <c r="K151" s="5" t="s">
        <v>3868</v>
      </c>
      <c r="M151" s="6">
        <v>18</v>
      </c>
    </row>
    <row r="152" spans="1:16" x14ac:dyDescent="0.25">
      <c r="A152" t="s">
        <v>1953</v>
      </c>
      <c r="B152" s="9">
        <v>-300</v>
      </c>
      <c r="C152">
        <v>300</v>
      </c>
      <c r="D152" s="9" t="s">
        <v>1954</v>
      </c>
      <c r="F152" t="s">
        <v>3792</v>
      </c>
      <c r="G152" s="9" t="s">
        <v>3849</v>
      </c>
      <c r="I152" s="5" t="s">
        <v>4804</v>
      </c>
      <c r="J152" s="5" t="s">
        <v>6584</v>
      </c>
      <c r="K152" s="5" t="s">
        <v>3868</v>
      </c>
      <c r="M152" s="6"/>
    </row>
    <row r="153" spans="1:16" x14ac:dyDescent="0.25">
      <c r="A153" t="s">
        <v>1955</v>
      </c>
      <c r="B153" s="9">
        <v>-300</v>
      </c>
      <c r="C153">
        <v>300</v>
      </c>
      <c r="D153" s="9" t="s">
        <v>1956</v>
      </c>
      <c r="F153" t="s">
        <v>3794</v>
      </c>
      <c r="G153" s="9" t="s">
        <v>3849</v>
      </c>
      <c r="I153" s="5" t="s">
        <v>4808</v>
      </c>
      <c r="J153" s="5" t="s">
        <v>6585</v>
      </c>
      <c r="K153" s="5" t="s">
        <v>3868</v>
      </c>
      <c r="M153" s="6">
        <v>4</v>
      </c>
    </row>
    <row r="154" spans="1:16" x14ac:dyDescent="0.25">
      <c r="A154" t="s">
        <v>1957</v>
      </c>
      <c r="B154" s="9">
        <v>-300</v>
      </c>
      <c r="C154">
        <v>300</v>
      </c>
      <c r="D154" s="9" t="s">
        <v>6673</v>
      </c>
      <c r="E154" t="s">
        <v>6635</v>
      </c>
      <c r="F154" t="s">
        <v>3795</v>
      </c>
      <c r="G154" s="9" t="s">
        <v>3849</v>
      </c>
      <c r="I154" s="5" t="s">
        <v>4823</v>
      </c>
      <c r="J154" s="5" t="s">
        <v>6586</v>
      </c>
      <c r="K154" s="5" t="s">
        <v>3868</v>
      </c>
      <c r="M154" s="6"/>
    </row>
    <row r="155" spans="1:16" x14ac:dyDescent="0.25">
      <c r="A155" t="s">
        <v>1959</v>
      </c>
      <c r="B155" s="9">
        <v>-300</v>
      </c>
      <c r="C155">
        <v>300</v>
      </c>
      <c r="D155" s="9" t="s">
        <v>1960</v>
      </c>
      <c r="F155" t="s">
        <v>3796</v>
      </c>
      <c r="G155" s="9" t="s">
        <v>3849</v>
      </c>
      <c r="I155" s="5" t="s">
        <v>4883</v>
      </c>
      <c r="J155" s="5" t="s">
        <v>6587</v>
      </c>
      <c r="K155" s="5" t="s">
        <v>3868</v>
      </c>
      <c r="M155" s="6"/>
    </row>
    <row r="156" spans="1:16" x14ac:dyDescent="0.25">
      <c r="A156" t="s">
        <v>1961</v>
      </c>
      <c r="B156" s="9">
        <v>-300</v>
      </c>
      <c r="C156">
        <v>300</v>
      </c>
      <c r="D156" s="9" t="s">
        <v>6676</v>
      </c>
      <c r="E156" t="s">
        <v>6635</v>
      </c>
      <c r="F156" t="s">
        <v>3797</v>
      </c>
      <c r="G156" s="9" t="s">
        <v>3849</v>
      </c>
      <c r="I156" s="5" t="s">
        <v>4886</v>
      </c>
      <c r="J156" s="5" t="s">
        <v>6588</v>
      </c>
      <c r="K156" s="5" t="s">
        <v>3868</v>
      </c>
      <c r="M156" s="6"/>
    </row>
    <row r="157" spans="1:16" x14ac:dyDescent="0.25">
      <c r="A157" t="s">
        <v>1963</v>
      </c>
      <c r="B157" s="9">
        <v>-300</v>
      </c>
      <c r="C157">
        <v>300</v>
      </c>
      <c r="D157" s="9" t="s">
        <v>1964</v>
      </c>
      <c r="F157" t="s">
        <v>3798</v>
      </c>
      <c r="G157" s="9" t="s">
        <v>3849</v>
      </c>
      <c r="I157" s="5" t="s">
        <v>4887</v>
      </c>
      <c r="J157" s="5" t="s">
        <v>6589</v>
      </c>
      <c r="K157" s="5" t="s">
        <v>3868</v>
      </c>
      <c r="M157" s="6"/>
    </row>
    <row r="158" spans="1:16" x14ac:dyDescent="0.25">
      <c r="A158" t="s">
        <v>1965</v>
      </c>
      <c r="B158" s="9">
        <v>-300</v>
      </c>
      <c r="C158">
        <v>300</v>
      </c>
      <c r="D158" s="9" t="s">
        <v>1966</v>
      </c>
      <c r="F158" t="s">
        <v>3799</v>
      </c>
      <c r="G158" s="9" t="s">
        <v>3849</v>
      </c>
      <c r="I158" s="5" t="s">
        <v>4899</v>
      </c>
      <c r="J158" s="5" t="s">
        <v>6590</v>
      </c>
      <c r="K158" s="5" t="s">
        <v>3868</v>
      </c>
      <c r="M158" s="6"/>
    </row>
    <row r="159" spans="1:16" x14ac:dyDescent="0.25">
      <c r="A159" t="s">
        <v>1967</v>
      </c>
      <c r="B159" s="9">
        <v>-300</v>
      </c>
      <c r="C159">
        <v>300</v>
      </c>
      <c r="D159" s="9" t="s">
        <v>1968</v>
      </c>
      <c r="F159" t="s">
        <v>3801</v>
      </c>
      <c r="G159" s="9" t="s">
        <v>3849</v>
      </c>
      <c r="I159" s="5" t="s">
        <v>4926</v>
      </c>
      <c r="J159" s="5" t="s">
        <v>6591</v>
      </c>
      <c r="K159" s="5" t="s">
        <v>3849</v>
      </c>
      <c r="M159" s="6"/>
    </row>
    <row r="160" spans="1:16" x14ac:dyDescent="0.25">
      <c r="A160" t="s">
        <v>1969</v>
      </c>
      <c r="B160" s="9">
        <v>-300</v>
      </c>
      <c r="C160">
        <v>300</v>
      </c>
      <c r="D160" s="9" t="s">
        <v>6674</v>
      </c>
      <c r="E160" t="s">
        <v>6635</v>
      </c>
      <c r="F160" t="s">
        <v>3802</v>
      </c>
      <c r="G160" s="9" t="s">
        <v>3849</v>
      </c>
      <c r="I160" s="5" t="s">
        <v>4946</v>
      </c>
      <c r="J160" s="5" t="s">
        <v>6592</v>
      </c>
      <c r="K160" s="5" t="s">
        <v>3868</v>
      </c>
      <c r="M160" s="6"/>
    </row>
    <row r="161" spans="1:13" x14ac:dyDescent="0.25">
      <c r="A161" t="s">
        <v>1971</v>
      </c>
      <c r="B161" s="9">
        <v>-300</v>
      </c>
      <c r="C161">
        <v>300</v>
      </c>
      <c r="D161" s="9" t="s">
        <v>1972</v>
      </c>
      <c r="F161" t="s">
        <v>3802</v>
      </c>
      <c r="G161" s="9" t="s">
        <v>3849</v>
      </c>
      <c r="I161" s="5" t="s">
        <v>4949</v>
      </c>
      <c r="J161" s="5" t="s">
        <v>6593</v>
      </c>
      <c r="K161" s="5" t="s">
        <v>3868</v>
      </c>
      <c r="M161" s="6"/>
    </row>
    <row r="162" spans="1:13" x14ac:dyDescent="0.25">
      <c r="A162" t="s">
        <v>1973</v>
      </c>
      <c r="B162" s="9">
        <v>-300</v>
      </c>
      <c r="C162">
        <v>300</v>
      </c>
      <c r="D162" s="9" t="s">
        <v>1974</v>
      </c>
      <c r="F162" t="s">
        <v>3804</v>
      </c>
      <c r="G162" s="9" t="s">
        <v>3849</v>
      </c>
      <c r="I162" s="5" t="s">
        <v>4950</v>
      </c>
      <c r="J162" s="5" t="s">
        <v>6594</v>
      </c>
      <c r="K162" s="5" t="s">
        <v>3868</v>
      </c>
      <c r="M162" s="6"/>
    </row>
    <row r="163" spans="1:13" x14ac:dyDescent="0.25">
      <c r="A163" t="s">
        <v>1975</v>
      </c>
      <c r="B163" s="9">
        <v>-300</v>
      </c>
      <c r="C163">
        <v>300</v>
      </c>
      <c r="D163" s="9" t="s">
        <v>6675</v>
      </c>
      <c r="E163" t="s">
        <v>6635</v>
      </c>
      <c r="F163" t="s">
        <v>3805</v>
      </c>
      <c r="G163" s="9" t="s">
        <v>3849</v>
      </c>
      <c r="I163" s="5" t="s">
        <v>4967</v>
      </c>
      <c r="J163" s="5" t="s">
        <v>6595</v>
      </c>
      <c r="K163" s="5" t="s">
        <v>3868</v>
      </c>
      <c r="M163" s="6"/>
    </row>
    <row r="164" spans="1:13" x14ac:dyDescent="0.25">
      <c r="A164" t="s">
        <v>1977</v>
      </c>
      <c r="B164" s="9">
        <v>-300</v>
      </c>
      <c r="C164">
        <v>300</v>
      </c>
      <c r="D164" s="9" t="s">
        <v>3595</v>
      </c>
      <c r="F164" t="s">
        <v>3807</v>
      </c>
      <c r="G164" s="9" t="s">
        <v>3849</v>
      </c>
      <c r="I164" s="5" t="s">
        <v>4968</v>
      </c>
      <c r="J164" s="5" t="s">
        <v>6596</v>
      </c>
      <c r="K164" s="5" t="s">
        <v>3868</v>
      </c>
      <c r="M164" s="6">
        <v>59</v>
      </c>
    </row>
    <row r="165" spans="1:13" x14ac:dyDescent="0.25">
      <c r="A165" t="s">
        <v>1979</v>
      </c>
      <c r="B165" s="9">
        <v>-300</v>
      </c>
      <c r="C165">
        <v>300</v>
      </c>
      <c r="D165" s="9" t="s">
        <v>1980</v>
      </c>
      <c r="F165" t="s">
        <v>3808</v>
      </c>
      <c r="G165" s="9" t="s">
        <v>3849</v>
      </c>
      <c r="I165" s="5" t="s">
        <v>4969</v>
      </c>
      <c r="J165" s="5" t="s">
        <v>6597</v>
      </c>
      <c r="K165" s="5" t="s">
        <v>3868</v>
      </c>
      <c r="M165" s="6">
        <v>59</v>
      </c>
    </row>
    <row r="166" spans="1:13" x14ac:dyDescent="0.25">
      <c r="A166" t="s">
        <v>1981</v>
      </c>
      <c r="B166" s="9">
        <v>-300</v>
      </c>
      <c r="C166">
        <v>300</v>
      </c>
      <c r="D166" s="9" t="s">
        <v>1982</v>
      </c>
      <c r="F166" t="s">
        <v>3810</v>
      </c>
      <c r="G166" s="9" t="s">
        <v>3849</v>
      </c>
      <c r="I166" s="5" t="s">
        <v>4989</v>
      </c>
      <c r="J166" s="5" t="s">
        <v>6598</v>
      </c>
      <c r="K166" s="5" t="s">
        <v>3868</v>
      </c>
      <c r="M166" s="6"/>
    </row>
    <row r="167" spans="1:13" x14ac:dyDescent="0.25">
      <c r="A167" t="s">
        <v>1983</v>
      </c>
      <c r="B167" s="9">
        <v>-300</v>
      </c>
      <c r="C167">
        <v>300</v>
      </c>
      <c r="D167" s="9" t="s">
        <v>6677</v>
      </c>
      <c r="E167" t="s">
        <v>6635</v>
      </c>
      <c r="F167" t="s">
        <v>3811</v>
      </c>
      <c r="G167" s="9" t="s">
        <v>3849</v>
      </c>
      <c r="I167" s="5" t="s">
        <v>5002</v>
      </c>
      <c r="J167" s="5" t="s">
        <v>6599</v>
      </c>
      <c r="K167" s="5" t="s">
        <v>3868</v>
      </c>
      <c r="M167" s="6"/>
    </row>
    <row r="168" spans="1:13" x14ac:dyDescent="0.25">
      <c r="A168" t="s">
        <v>1985</v>
      </c>
      <c r="B168" s="9">
        <v>-300</v>
      </c>
      <c r="C168">
        <v>300</v>
      </c>
      <c r="D168" s="9" t="s">
        <v>1986</v>
      </c>
      <c r="F168" t="s">
        <v>3812</v>
      </c>
      <c r="G168" s="9" t="s">
        <v>3849</v>
      </c>
      <c r="I168" s="5" t="s">
        <v>5007</v>
      </c>
      <c r="J168" s="5" t="s">
        <v>6600</v>
      </c>
      <c r="K168" s="5" t="s">
        <v>3849</v>
      </c>
      <c r="M168" s="6"/>
    </row>
    <row r="169" spans="1:13" x14ac:dyDescent="0.25">
      <c r="A169" t="s">
        <v>1987</v>
      </c>
      <c r="B169" s="9">
        <v>-300</v>
      </c>
      <c r="C169">
        <v>300</v>
      </c>
      <c r="D169" s="9" t="s">
        <v>1988</v>
      </c>
      <c r="E169" t="s">
        <v>3626</v>
      </c>
      <c r="F169" t="s">
        <v>3813</v>
      </c>
      <c r="G169" s="9" t="s">
        <v>3849</v>
      </c>
      <c r="I169" s="5" t="s">
        <v>5031</v>
      </c>
      <c r="J169" s="5" t="s">
        <v>6601</v>
      </c>
      <c r="K169" s="5" t="s">
        <v>3849</v>
      </c>
      <c r="M169" s="6"/>
    </row>
    <row r="170" spans="1:13" x14ac:dyDescent="0.25">
      <c r="A170" t="s">
        <v>1989</v>
      </c>
      <c r="B170" s="9">
        <v>-300</v>
      </c>
      <c r="C170">
        <v>300</v>
      </c>
      <c r="D170" s="9" t="s">
        <v>1990</v>
      </c>
      <c r="F170" t="s">
        <v>3814</v>
      </c>
      <c r="G170" s="9" t="s">
        <v>3849</v>
      </c>
      <c r="I170" s="5" t="s">
        <v>5043</v>
      </c>
      <c r="J170" s="5" t="s">
        <v>6602</v>
      </c>
      <c r="K170" s="5" t="s">
        <v>3849</v>
      </c>
      <c r="M170" s="6">
        <v>61</v>
      </c>
    </row>
    <row r="171" spans="1:13" x14ac:dyDescent="0.25">
      <c r="A171" t="s">
        <v>1991</v>
      </c>
      <c r="B171" s="9">
        <v>-300</v>
      </c>
      <c r="C171">
        <v>300</v>
      </c>
      <c r="D171" s="9" t="s">
        <v>1992</v>
      </c>
      <c r="F171" t="s">
        <v>3816</v>
      </c>
      <c r="G171" s="9" t="s">
        <v>3849</v>
      </c>
      <c r="I171" s="5" t="s">
        <v>5044</v>
      </c>
      <c r="J171" s="5" t="s">
        <v>6603</v>
      </c>
      <c r="K171" s="5" t="s">
        <v>3868</v>
      </c>
      <c r="M171" s="6">
        <v>61</v>
      </c>
    </row>
    <row r="172" spans="1:13" x14ac:dyDescent="0.25">
      <c r="A172" t="s">
        <v>1993</v>
      </c>
      <c r="B172" s="9">
        <v>-300</v>
      </c>
      <c r="C172">
        <v>300</v>
      </c>
      <c r="D172" s="9" t="s">
        <v>6678</v>
      </c>
      <c r="E172" t="s">
        <v>6635</v>
      </c>
      <c r="F172" t="s">
        <v>3817</v>
      </c>
      <c r="G172" s="9" t="s">
        <v>3849</v>
      </c>
      <c r="I172" s="5" t="s">
        <v>5057</v>
      </c>
      <c r="J172" s="5" t="s">
        <v>6604</v>
      </c>
      <c r="K172" s="5" t="s">
        <v>3868</v>
      </c>
      <c r="M172" s="6"/>
    </row>
    <row r="173" spans="1:13" x14ac:dyDescent="0.25">
      <c r="A173" t="s">
        <v>1995</v>
      </c>
      <c r="B173" s="9">
        <v>-300</v>
      </c>
      <c r="C173">
        <v>300</v>
      </c>
      <c r="D173" s="9" t="s">
        <v>6679</v>
      </c>
      <c r="E173" t="s">
        <v>6635</v>
      </c>
      <c r="F173" t="s">
        <v>3648</v>
      </c>
      <c r="G173" s="9" t="s">
        <v>3849</v>
      </c>
      <c r="I173" s="5" t="s">
        <v>5071</v>
      </c>
      <c r="J173" s="5" t="s">
        <v>6605</v>
      </c>
      <c r="K173" s="5" t="s">
        <v>3904</v>
      </c>
      <c r="M173" s="6">
        <v>110</v>
      </c>
    </row>
    <row r="174" spans="1:13" x14ac:dyDescent="0.25">
      <c r="A174" t="s">
        <v>1997</v>
      </c>
      <c r="B174" s="9">
        <v>-300</v>
      </c>
      <c r="C174">
        <v>300</v>
      </c>
      <c r="D174" s="9" t="s">
        <v>1998</v>
      </c>
      <c r="F174" t="s">
        <v>3649</v>
      </c>
      <c r="G174" s="9" t="s">
        <v>3849</v>
      </c>
      <c r="I174" s="5" t="s">
        <v>5072</v>
      </c>
      <c r="J174" s="5" t="s">
        <v>6606</v>
      </c>
      <c r="K174" s="5" t="s">
        <v>3868</v>
      </c>
      <c r="M174" s="6">
        <v>53</v>
      </c>
    </row>
    <row r="175" spans="1:13" x14ac:dyDescent="0.25">
      <c r="A175" t="s">
        <v>5073</v>
      </c>
      <c r="B175" s="9">
        <v>-300</v>
      </c>
      <c r="C175">
        <v>300</v>
      </c>
      <c r="G175" s="9" t="s">
        <v>3849</v>
      </c>
      <c r="I175" s="5" t="s">
        <v>5074</v>
      </c>
      <c r="J175" s="5" t="s">
        <v>5273</v>
      </c>
      <c r="K175" s="5" t="s">
        <v>3868</v>
      </c>
      <c r="M175" s="6">
        <v>53</v>
      </c>
    </row>
    <row r="176" spans="1:13" x14ac:dyDescent="0.25">
      <c r="A176" t="s">
        <v>1999</v>
      </c>
      <c r="B176" s="9">
        <v>-300</v>
      </c>
      <c r="C176">
        <v>300</v>
      </c>
      <c r="G176" s="9" t="s">
        <v>3849</v>
      </c>
      <c r="I176" s="5" t="s">
        <v>5075</v>
      </c>
      <c r="J176" s="5" t="s">
        <v>6607</v>
      </c>
      <c r="K176" s="5" t="s">
        <v>3868</v>
      </c>
      <c r="M176" s="6">
        <v>53</v>
      </c>
    </row>
    <row r="177" spans="1:16" x14ac:dyDescent="0.25">
      <c r="A177" t="s">
        <v>2001</v>
      </c>
      <c r="B177" s="9">
        <v>-300</v>
      </c>
      <c r="C177">
        <v>300</v>
      </c>
      <c r="D177" s="9" t="s">
        <v>3596</v>
      </c>
      <c r="F177" t="s">
        <v>3820</v>
      </c>
      <c r="G177" s="9" t="s">
        <v>3849</v>
      </c>
      <c r="I177" s="5" t="s">
        <v>5078</v>
      </c>
      <c r="J177" s="5" t="s">
        <v>6608</v>
      </c>
      <c r="K177" s="5" t="s">
        <v>3868</v>
      </c>
      <c r="M177" s="6" t="s">
        <v>6498</v>
      </c>
    </row>
    <row r="178" spans="1:16" x14ac:dyDescent="0.25">
      <c r="A178" t="s">
        <v>2003</v>
      </c>
      <c r="B178" s="9">
        <v>-300</v>
      </c>
      <c r="C178">
        <v>300</v>
      </c>
      <c r="D178" s="9" t="s">
        <v>2004</v>
      </c>
      <c r="E178" t="s">
        <v>3627</v>
      </c>
      <c r="F178" t="s">
        <v>3821</v>
      </c>
      <c r="G178" s="9" t="s">
        <v>3849</v>
      </c>
      <c r="I178" s="5" t="s">
        <v>5081</v>
      </c>
      <c r="J178" s="5" t="s">
        <v>6609</v>
      </c>
      <c r="K178" s="5" t="s">
        <v>3868</v>
      </c>
      <c r="M178" s="6"/>
    </row>
    <row r="179" spans="1:16" x14ac:dyDescent="0.25">
      <c r="A179" t="s">
        <v>2005</v>
      </c>
      <c r="B179" s="9">
        <v>-300</v>
      </c>
      <c r="C179">
        <v>300</v>
      </c>
      <c r="D179" s="9" t="s">
        <v>6680</v>
      </c>
      <c r="E179" t="s">
        <v>6635</v>
      </c>
      <c r="F179" t="s">
        <v>3822</v>
      </c>
      <c r="G179" s="9" t="s">
        <v>3849</v>
      </c>
      <c r="I179" s="5" t="s">
        <v>5082</v>
      </c>
      <c r="J179" s="5" t="s">
        <v>6610</v>
      </c>
      <c r="K179" s="5" t="s">
        <v>3868</v>
      </c>
      <c r="M179" s="7">
        <v>102141</v>
      </c>
    </row>
    <row r="180" spans="1:16" x14ac:dyDescent="0.25">
      <c r="A180" t="s">
        <v>2007</v>
      </c>
      <c r="B180" s="9">
        <v>-300</v>
      </c>
      <c r="C180">
        <v>300</v>
      </c>
      <c r="D180" s="9" t="s">
        <v>3597</v>
      </c>
      <c r="F180" t="s">
        <v>3823</v>
      </c>
      <c r="G180" s="9" t="s">
        <v>3849</v>
      </c>
      <c r="I180" s="5" t="s">
        <v>5091</v>
      </c>
      <c r="J180" s="5" t="s">
        <v>6611</v>
      </c>
      <c r="K180" s="5" t="s">
        <v>3904</v>
      </c>
      <c r="M180" s="6"/>
    </row>
    <row r="181" spans="1:16" x14ac:dyDescent="0.25">
      <c r="A181" t="s">
        <v>2009</v>
      </c>
      <c r="B181" s="9">
        <v>-300</v>
      </c>
      <c r="C181">
        <v>300</v>
      </c>
      <c r="D181" s="9" t="s">
        <v>6681</v>
      </c>
      <c r="E181" t="s">
        <v>6635</v>
      </c>
      <c r="F181" t="s">
        <v>3824</v>
      </c>
      <c r="G181" s="9" t="s">
        <v>3849</v>
      </c>
      <c r="I181" s="5" t="s">
        <v>5094</v>
      </c>
      <c r="J181" s="5" t="s">
        <v>6612</v>
      </c>
      <c r="K181" s="5" t="s">
        <v>3868</v>
      </c>
      <c r="M181" s="6">
        <v>27</v>
      </c>
    </row>
    <row r="182" spans="1:16" s="1" customFormat="1" x14ac:dyDescent="0.25">
      <c r="A182" s="42" t="s">
        <v>2011</v>
      </c>
      <c r="B182" s="43">
        <v>-300</v>
      </c>
      <c r="C182" s="42">
        <v>300</v>
      </c>
      <c r="D182" s="43" t="s">
        <v>3613</v>
      </c>
      <c r="E182" s="42" t="s">
        <v>2012</v>
      </c>
      <c r="F182" s="42" t="s">
        <v>3848</v>
      </c>
      <c r="G182" s="43" t="s">
        <v>3849</v>
      </c>
      <c r="H182"/>
      <c r="I182" s="5" t="s">
        <v>5110</v>
      </c>
      <c r="J182" s="5" t="s">
        <v>6613</v>
      </c>
      <c r="K182" s="5" t="s">
        <v>4097</v>
      </c>
      <c r="L182" s="5" t="s">
        <v>6614</v>
      </c>
      <c r="M182" s="6"/>
      <c r="N182"/>
      <c r="O182"/>
      <c r="P182"/>
    </row>
    <row r="183" spans="1:16" x14ac:dyDescent="0.25">
      <c r="A183" t="s">
        <v>2013</v>
      </c>
      <c r="B183" s="9">
        <v>-300</v>
      </c>
      <c r="C183">
        <v>300</v>
      </c>
      <c r="D183" s="9" t="s">
        <v>6682</v>
      </c>
      <c r="E183" t="s">
        <v>6635</v>
      </c>
      <c r="F183" t="s">
        <v>3825</v>
      </c>
      <c r="G183" s="9" t="s">
        <v>3849</v>
      </c>
      <c r="I183" s="5" t="s">
        <v>5113</v>
      </c>
      <c r="J183" s="5" t="s">
        <v>6615</v>
      </c>
      <c r="K183" s="5" t="s">
        <v>3868</v>
      </c>
      <c r="M183" s="7">
        <v>49141</v>
      </c>
    </row>
    <row r="184" spans="1:16" x14ac:dyDescent="0.25">
      <c r="A184" t="s">
        <v>2015</v>
      </c>
      <c r="B184" s="9">
        <v>-300</v>
      </c>
      <c r="C184">
        <v>300</v>
      </c>
      <c r="D184" s="9" t="s">
        <v>2016</v>
      </c>
      <c r="F184" t="s">
        <v>3651</v>
      </c>
      <c r="G184" s="9" t="s">
        <v>3849</v>
      </c>
      <c r="I184" s="5" t="s">
        <v>5114</v>
      </c>
      <c r="J184" s="5" t="s">
        <v>5274</v>
      </c>
      <c r="K184" s="5" t="s">
        <v>3868</v>
      </c>
      <c r="M184" s="6"/>
    </row>
    <row r="185" spans="1:16" x14ac:dyDescent="0.25">
      <c r="A185" t="s">
        <v>6683</v>
      </c>
      <c r="B185" s="9">
        <v>-300</v>
      </c>
      <c r="C185">
        <v>300</v>
      </c>
      <c r="D185" s="9" t="s">
        <v>2016</v>
      </c>
      <c r="F185" t="s">
        <v>6684</v>
      </c>
      <c r="G185" s="9" t="s">
        <v>3849</v>
      </c>
      <c r="K185" s="5" t="s">
        <v>3868</v>
      </c>
      <c r="M185" s="6">
        <v>75</v>
      </c>
    </row>
    <row r="186" spans="1:16" x14ac:dyDescent="0.25">
      <c r="A186" t="s">
        <v>2017</v>
      </c>
      <c r="B186" s="9">
        <v>-300</v>
      </c>
      <c r="C186">
        <v>300</v>
      </c>
      <c r="D186" s="9" t="s">
        <v>6685</v>
      </c>
      <c r="E186" t="s">
        <v>6635</v>
      </c>
      <c r="F186" t="s">
        <v>3826</v>
      </c>
      <c r="G186" s="9" t="s">
        <v>3849</v>
      </c>
      <c r="I186" s="5" t="s">
        <v>5117</v>
      </c>
      <c r="J186" s="5" t="s">
        <v>6616</v>
      </c>
      <c r="K186" s="5" t="s">
        <v>3868</v>
      </c>
      <c r="M186" s="6">
        <v>93</v>
      </c>
    </row>
    <row r="187" spans="1:16" x14ac:dyDescent="0.25">
      <c r="A187" t="s">
        <v>2019</v>
      </c>
      <c r="B187" s="9">
        <v>-300</v>
      </c>
      <c r="C187">
        <v>300</v>
      </c>
      <c r="D187" s="9" t="s">
        <v>2020</v>
      </c>
      <c r="F187" t="s">
        <v>3826</v>
      </c>
      <c r="G187" s="9" t="s">
        <v>3849</v>
      </c>
      <c r="I187" s="5" t="s">
        <v>5126</v>
      </c>
      <c r="J187" s="5" t="s">
        <v>6617</v>
      </c>
      <c r="K187" s="5" t="s">
        <v>3868</v>
      </c>
      <c r="M187" s="6">
        <v>61</v>
      </c>
    </row>
    <row r="188" spans="1:16" x14ac:dyDescent="0.25">
      <c r="A188" t="s">
        <v>2021</v>
      </c>
      <c r="B188" s="9">
        <v>-300</v>
      </c>
      <c r="C188">
        <v>300</v>
      </c>
      <c r="D188" s="9" t="s">
        <v>2022</v>
      </c>
      <c r="F188" t="s">
        <v>3828</v>
      </c>
      <c r="G188" s="9" t="s">
        <v>3849</v>
      </c>
      <c r="I188" s="5" t="s">
        <v>5127</v>
      </c>
      <c r="J188" s="5" t="s">
        <v>6618</v>
      </c>
      <c r="K188" s="5" t="s">
        <v>3868</v>
      </c>
      <c r="M188" s="6">
        <v>79</v>
      </c>
    </row>
    <row r="189" spans="1:16" s="1" customFormat="1" x14ac:dyDescent="0.25">
      <c r="A189" s="42" t="s">
        <v>2023</v>
      </c>
      <c r="B189" s="43">
        <v>-300</v>
      </c>
      <c r="C189" s="42">
        <v>300</v>
      </c>
      <c r="D189" s="43" t="s">
        <v>3612</v>
      </c>
      <c r="E189" s="42" t="s">
        <v>3612</v>
      </c>
      <c r="F189" s="42" t="s">
        <v>3843</v>
      </c>
      <c r="G189" s="43" t="s">
        <v>3849</v>
      </c>
      <c r="H189"/>
      <c r="I189" s="5" t="s">
        <v>5132</v>
      </c>
      <c r="J189" s="5" t="s">
        <v>6619</v>
      </c>
      <c r="K189" s="5" t="s">
        <v>4097</v>
      </c>
      <c r="L189" s="5"/>
      <c r="M189" s="7">
        <v>39110</v>
      </c>
      <c r="N189"/>
      <c r="O189"/>
      <c r="P189"/>
    </row>
    <row r="190" spans="1:16" s="1" customFormat="1" x14ac:dyDescent="0.25">
      <c r="A190" s="42" t="s">
        <v>2025</v>
      </c>
      <c r="B190" s="43">
        <v>-300</v>
      </c>
      <c r="C190" s="42">
        <v>300</v>
      </c>
      <c r="D190" s="43" t="s">
        <v>3609</v>
      </c>
      <c r="E190" s="42" t="s">
        <v>2026</v>
      </c>
      <c r="F190" s="42" t="s">
        <v>3843</v>
      </c>
      <c r="G190" s="43" t="s">
        <v>3849</v>
      </c>
      <c r="H190"/>
      <c r="I190" s="5" t="s">
        <v>5133</v>
      </c>
      <c r="J190" s="5" t="s">
        <v>6620</v>
      </c>
      <c r="K190" s="5" t="s">
        <v>4097</v>
      </c>
      <c r="L190" s="5"/>
      <c r="M190" s="7">
        <v>39110</v>
      </c>
      <c r="N190"/>
      <c r="O190"/>
      <c r="P190"/>
    </row>
    <row r="191" spans="1:16" x14ac:dyDescent="0.25">
      <c r="A191" t="s">
        <v>2027</v>
      </c>
      <c r="B191" s="9">
        <v>-300</v>
      </c>
      <c r="C191">
        <v>300</v>
      </c>
      <c r="D191" s="9" t="s">
        <v>2028</v>
      </c>
      <c r="E191" t="s">
        <v>3628</v>
      </c>
      <c r="F191" t="s">
        <v>3829</v>
      </c>
      <c r="G191" s="9" t="s">
        <v>3849</v>
      </c>
      <c r="I191" s="5" t="s">
        <v>5160</v>
      </c>
      <c r="J191" s="5" t="s">
        <v>6621</v>
      </c>
      <c r="K191" s="5" t="s">
        <v>3868</v>
      </c>
      <c r="M191" s="6"/>
    </row>
    <row r="192" spans="1:16" x14ac:dyDescent="0.25">
      <c r="A192" t="s">
        <v>2029</v>
      </c>
      <c r="B192" s="9">
        <v>-300</v>
      </c>
      <c r="C192">
        <v>300</v>
      </c>
      <c r="D192" s="9" t="s">
        <v>2030</v>
      </c>
      <c r="F192" t="s">
        <v>3830</v>
      </c>
      <c r="G192" s="9" t="s">
        <v>3849</v>
      </c>
      <c r="I192" s="5" t="s">
        <v>5167</v>
      </c>
      <c r="J192" s="5" t="s">
        <v>6622</v>
      </c>
      <c r="K192" s="5" t="s">
        <v>3868</v>
      </c>
      <c r="M192" s="6">
        <v>131</v>
      </c>
    </row>
    <row r="193" spans="1:13" x14ac:dyDescent="0.25">
      <c r="A193" t="s">
        <v>2031</v>
      </c>
      <c r="B193" s="9">
        <v>-300</v>
      </c>
      <c r="C193">
        <v>300</v>
      </c>
      <c r="D193" s="9" t="s">
        <v>6686</v>
      </c>
      <c r="E193" t="s">
        <v>6635</v>
      </c>
      <c r="F193" t="s">
        <v>3831</v>
      </c>
      <c r="G193" s="9" t="s">
        <v>3849</v>
      </c>
      <c r="I193" s="5" t="s">
        <v>5170</v>
      </c>
      <c r="J193" s="5" t="s">
        <v>6623</v>
      </c>
      <c r="K193" s="5" t="s">
        <v>3868</v>
      </c>
      <c r="M193" s="7">
        <v>102141</v>
      </c>
    </row>
    <row r="194" spans="1:13" x14ac:dyDescent="0.25">
      <c r="A194" t="s">
        <v>2033</v>
      </c>
      <c r="B194" s="9">
        <v>-300</v>
      </c>
      <c r="C194">
        <v>300</v>
      </c>
      <c r="D194" s="9" t="s">
        <v>2034</v>
      </c>
      <c r="F194" t="s">
        <v>3833</v>
      </c>
      <c r="G194" s="9" t="s">
        <v>3849</v>
      </c>
      <c r="I194" s="5" t="s">
        <v>5171</v>
      </c>
      <c r="J194" s="5" t="s">
        <v>6624</v>
      </c>
      <c r="K194" s="5" t="s">
        <v>3868</v>
      </c>
      <c r="M194" s="6">
        <v>4</v>
      </c>
    </row>
    <row r="195" spans="1:13" x14ac:dyDescent="0.25">
      <c r="A195" t="s">
        <v>2035</v>
      </c>
      <c r="B195" s="9">
        <v>-300</v>
      </c>
      <c r="C195">
        <v>300</v>
      </c>
      <c r="D195" s="9" t="s">
        <v>2036</v>
      </c>
      <c r="F195" t="s">
        <v>3834</v>
      </c>
      <c r="G195" s="9" t="s">
        <v>3849</v>
      </c>
      <c r="I195" s="5" t="s">
        <v>5172</v>
      </c>
      <c r="J195" s="5" t="s">
        <v>6625</v>
      </c>
      <c r="K195" s="5" t="s">
        <v>3868</v>
      </c>
      <c r="M195" s="6" t="s">
        <v>6626</v>
      </c>
    </row>
    <row r="196" spans="1:13" x14ac:dyDescent="0.25">
      <c r="A196" t="s">
        <v>2037</v>
      </c>
      <c r="B196" s="9">
        <v>-300</v>
      </c>
      <c r="C196">
        <v>300</v>
      </c>
      <c r="D196" s="9" t="s">
        <v>2038</v>
      </c>
      <c r="F196" t="s">
        <v>3652</v>
      </c>
      <c r="G196" s="9" t="s">
        <v>3849</v>
      </c>
      <c r="I196" s="5" t="s">
        <v>5220</v>
      </c>
      <c r="J196" s="5" t="s">
        <v>5275</v>
      </c>
      <c r="K196" s="5" t="s">
        <v>3868</v>
      </c>
      <c r="M196" s="6"/>
    </row>
    <row r="197" spans="1:13" x14ac:dyDescent="0.25">
      <c r="B197" s="9">
        <v>-300</v>
      </c>
      <c r="C197">
        <v>300</v>
      </c>
      <c r="G197" s="9" t="s">
        <v>3849</v>
      </c>
      <c r="K197" s="5" t="s">
        <v>3904</v>
      </c>
      <c r="M197" s="6"/>
    </row>
    <row r="198" spans="1:13" x14ac:dyDescent="0.25">
      <c r="A198" t="s">
        <v>2039</v>
      </c>
      <c r="B198" s="9">
        <v>-300</v>
      </c>
      <c r="C198">
        <v>300</v>
      </c>
      <c r="D198" s="9" t="s">
        <v>2040</v>
      </c>
      <c r="F198" t="s">
        <v>3835</v>
      </c>
      <c r="G198" s="9" t="s">
        <v>3849</v>
      </c>
      <c r="I198" s="5" t="s">
        <v>5223</v>
      </c>
      <c r="J198" s="5" t="s">
        <v>6627</v>
      </c>
      <c r="K198" s="5" t="s">
        <v>3868</v>
      </c>
      <c r="M198" s="6">
        <v>46</v>
      </c>
    </row>
    <row r="199" spans="1:13" x14ac:dyDescent="0.25">
      <c r="A199" t="s">
        <v>2041</v>
      </c>
      <c r="B199" s="9">
        <v>-300</v>
      </c>
      <c r="C199">
        <v>300</v>
      </c>
      <c r="D199" s="9" t="s">
        <v>2042</v>
      </c>
      <c r="F199" t="s">
        <v>3654</v>
      </c>
      <c r="G199" s="9" t="s">
        <v>3849</v>
      </c>
      <c r="I199" s="5" t="s">
        <v>5227</v>
      </c>
      <c r="J199" s="5" t="s">
        <v>5276</v>
      </c>
      <c r="K199" s="5" t="s">
        <v>3868</v>
      </c>
      <c r="M199" s="6"/>
    </row>
    <row r="200" spans="1:13" x14ac:dyDescent="0.25">
      <c r="A200" t="s">
        <v>6688</v>
      </c>
      <c r="B200" s="9">
        <v>-300</v>
      </c>
      <c r="C200">
        <v>300</v>
      </c>
      <c r="D200" s="9" t="s">
        <v>2042</v>
      </c>
      <c r="F200" t="s">
        <v>6687</v>
      </c>
      <c r="G200" s="9" t="s">
        <v>3849</v>
      </c>
      <c r="K200" s="5" t="s">
        <v>3868</v>
      </c>
      <c r="M200" s="6">
        <v>75</v>
      </c>
    </row>
    <row r="201" spans="1:13" x14ac:dyDescent="0.25">
      <c r="A201" t="s">
        <v>2043</v>
      </c>
      <c r="B201" s="9">
        <v>-300</v>
      </c>
      <c r="C201">
        <v>300</v>
      </c>
      <c r="D201" s="9" t="s">
        <v>6689</v>
      </c>
      <c r="E201" t="s">
        <v>6635</v>
      </c>
      <c r="F201" t="s">
        <v>3836</v>
      </c>
      <c r="G201" s="9" t="s">
        <v>3849</v>
      </c>
      <c r="I201" s="5" t="s">
        <v>5231</v>
      </c>
      <c r="J201" s="5" t="s">
        <v>6628</v>
      </c>
      <c r="K201" s="5" t="s">
        <v>3868</v>
      </c>
      <c r="M201" s="6"/>
    </row>
    <row r="202" spans="1:13" x14ac:dyDescent="0.25">
      <c r="A202" t="s">
        <v>2045</v>
      </c>
      <c r="B202" s="9">
        <v>-300</v>
      </c>
      <c r="C202">
        <v>300</v>
      </c>
      <c r="D202" s="9" t="s">
        <v>2046</v>
      </c>
      <c r="F202" t="s">
        <v>3836</v>
      </c>
      <c r="G202" s="9" t="s">
        <v>3849</v>
      </c>
      <c r="I202" s="5" t="s">
        <v>5232</v>
      </c>
      <c r="J202" s="5" t="s">
        <v>6629</v>
      </c>
      <c r="K202" s="5" t="s">
        <v>3868</v>
      </c>
      <c r="M202" s="6"/>
    </row>
    <row r="203" spans="1:13" x14ac:dyDescent="0.25">
      <c r="A203" t="s">
        <v>2047</v>
      </c>
      <c r="B203" s="9">
        <v>-300</v>
      </c>
      <c r="C203">
        <v>300</v>
      </c>
      <c r="D203" s="9" t="s">
        <v>2048</v>
      </c>
      <c r="F203" t="s">
        <v>3655</v>
      </c>
      <c r="G203" s="9" t="s">
        <v>3849</v>
      </c>
      <c r="I203" s="5" t="s">
        <v>5237</v>
      </c>
      <c r="J203" s="5" t="s">
        <v>6630</v>
      </c>
      <c r="K203" s="5" t="s">
        <v>3868</v>
      </c>
      <c r="M203" s="6"/>
    </row>
    <row r="204" spans="1:13" x14ac:dyDescent="0.25">
      <c r="A204" t="s">
        <v>5238</v>
      </c>
      <c r="B204" s="9">
        <v>-300</v>
      </c>
      <c r="C204">
        <v>300</v>
      </c>
      <c r="G204" s="9" t="s">
        <v>3849</v>
      </c>
      <c r="I204" s="5" t="s">
        <v>5239</v>
      </c>
      <c r="J204" s="5" t="s">
        <v>5277</v>
      </c>
    </row>
    <row r="205" spans="1:13" x14ac:dyDescent="0.25">
      <c r="A205" t="s">
        <v>2049</v>
      </c>
      <c r="B205" s="9">
        <v>-300</v>
      </c>
      <c r="C205">
        <v>300</v>
      </c>
      <c r="D205" s="9" t="s">
        <v>2050</v>
      </c>
      <c r="F205" t="s">
        <v>3837</v>
      </c>
      <c r="G205" s="9" t="s">
        <v>3849</v>
      </c>
      <c r="I205" s="5" t="s">
        <v>5242</v>
      </c>
      <c r="J205" s="5" t="s">
        <v>6631</v>
      </c>
      <c r="K205" s="5" t="s">
        <v>3904</v>
      </c>
      <c r="M205" s="6"/>
    </row>
    <row r="206" spans="1:13" x14ac:dyDescent="0.25">
      <c r="A206" t="s">
        <v>2051</v>
      </c>
      <c r="B206" s="9">
        <v>-300</v>
      </c>
      <c r="C206">
        <v>300</v>
      </c>
      <c r="D206" s="9" t="s">
        <v>6690</v>
      </c>
      <c r="E206" t="s">
        <v>6635</v>
      </c>
      <c r="F206" t="s">
        <v>3838</v>
      </c>
      <c r="G206" s="9" t="s">
        <v>3849</v>
      </c>
      <c r="I206" s="5" t="s">
        <v>5243</v>
      </c>
      <c r="J206" s="5" t="s">
        <v>6632</v>
      </c>
      <c r="K206" s="5" t="s">
        <v>3868</v>
      </c>
      <c r="M206" s="6">
        <v>75</v>
      </c>
    </row>
    <row r="207" spans="1:13" x14ac:dyDescent="0.25">
      <c r="A207" t="s">
        <v>2053</v>
      </c>
      <c r="B207" s="9">
        <v>-300</v>
      </c>
      <c r="C207">
        <v>300</v>
      </c>
      <c r="D207" s="9" t="s">
        <v>2054</v>
      </c>
      <c r="F207" t="s">
        <v>3838</v>
      </c>
      <c r="G207" s="9" t="s">
        <v>3849</v>
      </c>
      <c r="I207" s="5" t="s">
        <v>5248</v>
      </c>
      <c r="J207" s="5" t="s">
        <v>6633</v>
      </c>
      <c r="K207" s="5" t="s">
        <v>3868</v>
      </c>
      <c r="M207" s="6"/>
    </row>
    <row r="208" spans="1:13" x14ac:dyDescent="0.25">
      <c r="A208" t="s">
        <v>6411</v>
      </c>
      <c r="B208" s="9">
        <v>-300</v>
      </c>
      <c r="C208">
        <v>300</v>
      </c>
      <c r="F208" t="s">
        <v>6415</v>
      </c>
      <c r="G208" s="9" t="s">
        <v>3849</v>
      </c>
      <c r="K208" s="5" t="s">
        <v>3849</v>
      </c>
    </row>
    <row r="209" spans="1:12" customFormat="1" x14ac:dyDescent="0.25">
      <c r="A209" s="25" t="s">
        <v>3856</v>
      </c>
      <c r="B209" s="26">
        <v>-300</v>
      </c>
      <c r="C209" s="25">
        <v>300</v>
      </c>
      <c r="D209" s="26" t="s">
        <v>3860</v>
      </c>
      <c r="E209" s="25"/>
      <c r="F209" s="25" t="s">
        <v>3861</v>
      </c>
      <c r="G209" s="26" t="s">
        <v>3849</v>
      </c>
      <c r="I209" s="5"/>
      <c r="J209" s="5"/>
      <c r="K209" s="5" t="s">
        <v>3849</v>
      </c>
      <c r="L209" s="5"/>
    </row>
    <row r="210" spans="1:12" customFormat="1" x14ac:dyDescent="0.25">
      <c r="B210" s="9"/>
      <c r="D210" s="9"/>
      <c r="G210" s="9"/>
      <c r="I210" s="5"/>
      <c r="J210" s="5"/>
      <c r="K210" s="5"/>
      <c r="L210" s="5"/>
    </row>
    <row r="211" spans="1:12" customFormat="1" x14ac:dyDescent="0.25">
      <c r="B211" s="9"/>
      <c r="D211" s="9"/>
      <c r="G211" s="9"/>
      <c r="I211" s="5"/>
      <c r="J211" s="5"/>
      <c r="K211" s="5"/>
      <c r="L211" s="5"/>
    </row>
    <row r="212" spans="1:12" customFormat="1" x14ac:dyDescent="0.25">
      <c r="B212" s="9"/>
      <c r="D212" s="9"/>
      <c r="G212" s="9"/>
      <c r="I212" s="5"/>
      <c r="J212" s="5"/>
      <c r="K212" s="5"/>
      <c r="L212" s="5"/>
    </row>
    <row r="213" spans="1:12" customFormat="1" x14ac:dyDescent="0.25">
      <c r="B213" s="9"/>
      <c r="D213" s="9"/>
      <c r="G213" s="9"/>
      <c r="I213" s="5"/>
      <c r="J213" s="5"/>
      <c r="K213" s="5"/>
      <c r="L213" s="5"/>
    </row>
    <row r="214" spans="1:12" customFormat="1" x14ac:dyDescent="0.25">
      <c r="B214" s="9"/>
      <c r="D214" s="9"/>
      <c r="G214" s="9"/>
      <c r="I214" s="5"/>
      <c r="J214" s="5"/>
      <c r="K214" s="5"/>
      <c r="L214" s="5"/>
    </row>
    <row r="215" spans="1:12" customFormat="1" x14ac:dyDescent="0.25">
      <c r="B215" s="9"/>
      <c r="D215" s="9"/>
      <c r="G215" s="9"/>
      <c r="I215" s="5"/>
      <c r="J215" s="5"/>
      <c r="K215" s="5"/>
      <c r="L215" s="5"/>
    </row>
    <row r="216" spans="1:12" customFormat="1" x14ac:dyDescent="0.25">
      <c r="B216" s="9"/>
      <c r="D216" s="9"/>
      <c r="G216" s="9"/>
      <c r="I216" s="5"/>
      <c r="J216" s="5"/>
      <c r="K216" s="5"/>
      <c r="L216" s="5"/>
    </row>
    <row r="217" spans="1:12" customFormat="1" x14ac:dyDescent="0.25">
      <c r="B217" s="9"/>
      <c r="D217" s="9"/>
      <c r="G217" s="9"/>
      <c r="I217" s="5"/>
      <c r="J217" s="5"/>
      <c r="K217" s="5"/>
      <c r="L217" s="5"/>
    </row>
    <row r="218" spans="1:12" customFormat="1" x14ac:dyDescent="0.25">
      <c r="B218" s="9"/>
      <c r="D218" s="9"/>
      <c r="G218" s="9"/>
      <c r="I218" s="5"/>
      <c r="J218" s="5"/>
      <c r="K218" s="5"/>
      <c r="L218" s="5"/>
    </row>
    <row r="219" spans="1:12" customFormat="1" x14ac:dyDescent="0.25">
      <c r="B219" s="9"/>
      <c r="D219" s="9"/>
      <c r="G219" s="9"/>
      <c r="I219" s="5"/>
      <c r="J219" s="5"/>
      <c r="K219" s="5"/>
      <c r="L219" s="5"/>
    </row>
    <row r="220" spans="1:12" customFormat="1" x14ac:dyDescent="0.25">
      <c r="B220" s="9"/>
      <c r="D220" s="9"/>
      <c r="G220" s="9"/>
      <c r="I220" s="5"/>
      <c r="J220" s="5"/>
      <c r="K220" s="5"/>
      <c r="L220" s="5"/>
    </row>
    <row r="221" spans="1:12" customFormat="1" x14ac:dyDescent="0.25">
      <c r="B221" s="9"/>
      <c r="D221" s="9"/>
      <c r="G221" s="9"/>
      <c r="I221" s="5"/>
      <c r="J221" s="5"/>
      <c r="K221" s="5"/>
      <c r="L221" s="5"/>
    </row>
    <row r="222" spans="1:12" customFormat="1" x14ac:dyDescent="0.25">
      <c r="B222" s="9"/>
      <c r="D222" s="9"/>
      <c r="G222" s="9"/>
      <c r="I222" s="5"/>
      <c r="J222" s="5"/>
      <c r="K222" s="5"/>
      <c r="L222" s="5"/>
    </row>
    <row r="223" spans="1:12" customFormat="1" x14ac:dyDescent="0.25">
      <c r="B223" s="9"/>
      <c r="D223" s="9"/>
      <c r="G223" s="9"/>
      <c r="I223" s="5"/>
      <c r="J223" s="5"/>
      <c r="K223" s="5"/>
      <c r="L223" s="5"/>
    </row>
    <row r="224" spans="1:12" customFormat="1" x14ac:dyDescent="0.25">
      <c r="B224" s="9"/>
      <c r="D224" s="9"/>
      <c r="G224" s="9"/>
      <c r="I224" s="5"/>
      <c r="J224" s="5"/>
      <c r="K224" s="5"/>
      <c r="L224" s="5"/>
    </row>
    <row r="225" spans="11:12" customFormat="1" x14ac:dyDescent="0.25">
      <c r="K225" s="5"/>
      <c r="L225" s="5"/>
    </row>
    <row r="226" spans="11:12" customFormat="1" x14ac:dyDescent="0.25">
      <c r="K226" s="5"/>
      <c r="L226" s="5"/>
    </row>
    <row r="227" spans="11:12" customFormat="1" x14ac:dyDescent="0.25">
      <c r="K227" s="5"/>
      <c r="L227" s="5"/>
    </row>
    <row r="228" spans="11:12" customFormat="1" x14ac:dyDescent="0.25">
      <c r="K228" s="5"/>
      <c r="L228" s="5"/>
    </row>
    <row r="229" spans="11:12" customFormat="1" x14ac:dyDescent="0.25">
      <c r="K229" s="5"/>
      <c r="L229" s="5"/>
    </row>
    <row r="230" spans="11:12" customFormat="1" x14ac:dyDescent="0.25">
      <c r="K230" s="5"/>
      <c r="L230" s="5"/>
    </row>
    <row r="231" spans="11:12" customFormat="1" x14ac:dyDescent="0.25">
      <c r="K231" s="5"/>
      <c r="L231" s="5"/>
    </row>
    <row r="232" spans="11:12" customFormat="1" x14ac:dyDescent="0.25">
      <c r="K232" s="5"/>
      <c r="L232" s="5"/>
    </row>
    <row r="233" spans="11:12" customFormat="1" x14ac:dyDescent="0.25">
      <c r="K233" s="5"/>
      <c r="L233" s="5"/>
    </row>
    <row r="234" spans="11:12" customFormat="1" x14ac:dyDescent="0.25">
      <c r="K234" s="5"/>
      <c r="L234" s="5"/>
    </row>
    <row r="235" spans="11:12" customFormat="1" x14ac:dyDescent="0.25">
      <c r="K235" s="5"/>
      <c r="L235" s="5"/>
    </row>
    <row r="236" spans="11:12" customFormat="1" x14ac:dyDescent="0.25">
      <c r="K236" s="5"/>
      <c r="L236" s="5"/>
    </row>
    <row r="237" spans="11:12" customFormat="1" x14ac:dyDescent="0.25">
      <c r="K237" s="5"/>
      <c r="L237" s="5"/>
    </row>
    <row r="238" spans="11:12" customFormat="1" x14ac:dyDescent="0.25">
      <c r="K238" s="5"/>
      <c r="L238" s="5"/>
    </row>
    <row r="239" spans="11:12" customFormat="1" x14ac:dyDescent="0.25">
      <c r="K239" s="5"/>
      <c r="L239" s="5"/>
    </row>
    <row r="240" spans="11:12" customFormat="1" x14ac:dyDescent="0.25">
      <c r="K240" s="5"/>
      <c r="L240" s="5"/>
    </row>
    <row r="241" spans="11:12" customFormat="1" x14ac:dyDescent="0.25">
      <c r="K241" s="5"/>
      <c r="L241" s="5"/>
    </row>
    <row r="242" spans="11:12" customFormat="1" x14ac:dyDescent="0.25">
      <c r="K242" s="5"/>
      <c r="L242" s="5"/>
    </row>
    <row r="243" spans="11:12" customFormat="1" x14ac:dyDescent="0.25">
      <c r="K243" s="5"/>
      <c r="L243" s="5"/>
    </row>
    <row r="244" spans="11:12" customFormat="1" x14ac:dyDescent="0.25">
      <c r="K244" s="5"/>
      <c r="L244" s="5"/>
    </row>
    <row r="245" spans="11:12" customFormat="1" x14ac:dyDescent="0.25">
      <c r="K245" s="5"/>
      <c r="L245" s="5"/>
    </row>
    <row r="246" spans="11:12" customFormat="1" x14ac:dyDescent="0.25">
      <c r="K246" s="5"/>
      <c r="L246" s="5"/>
    </row>
    <row r="247" spans="11:12" customFormat="1" x14ac:dyDescent="0.25">
      <c r="K247" s="5"/>
      <c r="L247" s="5"/>
    </row>
    <row r="248" spans="11:12" customFormat="1" x14ac:dyDescent="0.25">
      <c r="K248" s="5"/>
      <c r="L248" s="5"/>
    </row>
    <row r="249" spans="11:12" customFormat="1" x14ac:dyDescent="0.25">
      <c r="K249" s="5"/>
      <c r="L249" s="5"/>
    </row>
    <row r="250" spans="11:12" customFormat="1" x14ac:dyDescent="0.25">
      <c r="K250" s="5"/>
      <c r="L250" s="5"/>
    </row>
    <row r="251" spans="11:12" customFormat="1" x14ac:dyDescent="0.25">
      <c r="K251" s="5"/>
      <c r="L251" s="5"/>
    </row>
    <row r="252" spans="11:12" customFormat="1" x14ac:dyDescent="0.25">
      <c r="K252" s="5"/>
      <c r="L252" s="5"/>
    </row>
    <row r="253" spans="11:12" customFormat="1" x14ac:dyDescent="0.25">
      <c r="K253" s="5"/>
      <c r="L253" s="5"/>
    </row>
    <row r="254" spans="11:12" customFormat="1" x14ac:dyDescent="0.25">
      <c r="K254" s="5"/>
      <c r="L254" s="5"/>
    </row>
    <row r="255" spans="11:12" customFormat="1" x14ac:dyDescent="0.25">
      <c r="K255" s="5"/>
      <c r="L255" s="5"/>
    </row>
    <row r="256" spans="11:12" customFormat="1" x14ac:dyDescent="0.25">
      <c r="K256" s="5"/>
      <c r="L256" s="5"/>
    </row>
    <row r="257" spans="11:12" customFormat="1" x14ac:dyDescent="0.25">
      <c r="K257" s="5"/>
      <c r="L257" s="5"/>
    </row>
    <row r="258" spans="11:12" customFormat="1" x14ac:dyDescent="0.25">
      <c r="K258" s="5"/>
      <c r="L258" s="5"/>
    </row>
    <row r="259" spans="11:12" customFormat="1" x14ac:dyDescent="0.25">
      <c r="K259" s="5"/>
      <c r="L259" s="5"/>
    </row>
    <row r="260" spans="11:12" customFormat="1" x14ac:dyDescent="0.25">
      <c r="K260" s="5"/>
      <c r="L260" s="5"/>
    </row>
    <row r="261" spans="11:12" customFormat="1" x14ac:dyDescent="0.25">
      <c r="K261" s="5"/>
      <c r="L261" s="5"/>
    </row>
    <row r="262" spans="11:12" customFormat="1" x14ac:dyDescent="0.25">
      <c r="K262" s="5"/>
      <c r="L262" s="5"/>
    </row>
    <row r="263" spans="11:12" customFormat="1" x14ac:dyDescent="0.25">
      <c r="K263" s="5"/>
      <c r="L263" s="5"/>
    </row>
    <row r="264" spans="11:12" customFormat="1" x14ac:dyDescent="0.25">
      <c r="K264" s="5"/>
      <c r="L264" s="5"/>
    </row>
    <row r="265" spans="11:12" customFormat="1" x14ac:dyDescent="0.25">
      <c r="K265" s="5"/>
      <c r="L265" s="5"/>
    </row>
    <row r="266" spans="11:12" customFormat="1" x14ac:dyDescent="0.25">
      <c r="K266" s="5"/>
      <c r="L266" s="5"/>
    </row>
    <row r="267" spans="11:12" customFormat="1" x14ac:dyDescent="0.25">
      <c r="K267" s="5"/>
      <c r="L267" s="5"/>
    </row>
    <row r="268" spans="11:12" customFormat="1" x14ac:dyDescent="0.25">
      <c r="K268" s="5"/>
      <c r="L268" s="5"/>
    </row>
    <row r="269" spans="11:12" customFormat="1" x14ac:dyDescent="0.25">
      <c r="K269" s="5"/>
      <c r="L269" s="5"/>
    </row>
    <row r="270" spans="11:12" customFormat="1" x14ac:dyDescent="0.25">
      <c r="K270" s="5"/>
      <c r="L270" s="5"/>
    </row>
    <row r="271" spans="11:12" customFormat="1" x14ac:dyDescent="0.25">
      <c r="K271" s="5"/>
      <c r="L271" s="5"/>
    </row>
    <row r="272" spans="11:12" customFormat="1" x14ac:dyDescent="0.25">
      <c r="K272" s="5"/>
      <c r="L272" s="5"/>
    </row>
    <row r="273" spans="11:12" customFormat="1" x14ac:dyDescent="0.25">
      <c r="K273" s="5"/>
      <c r="L273" s="5"/>
    </row>
    <row r="274" spans="11:12" customFormat="1" x14ac:dyDescent="0.25">
      <c r="K274" s="5"/>
      <c r="L274" s="5"/>
    </row>
    <row r="275" spans="11:12" customFormat="1" x14ac:dyDescent="0.25">
      <c r="K275" s="5"/>
      <c r="L275" s="5"/>
    </row>
    <row r="276" spans="11:12" customFormat="1" x14ac:dyDescent="0.25">
      <c r="K276" s="5"/>
      <c r="L276" s="5"/>
    </row>
    <row r="277" spans="11:12" customFormat="1" x14ac:dyDescent="0.25">
      <c r="K277" s="5"/>
      <c r="L277" s="5"/>
    </row>
    <row r="278" spans="11:12" customFormat="1" x14ac:dyDescent="0.25">
      <c r="K278" s="5"/>
      <c r="L278" s="5"/>
    </row>
    <row r="279" spans="11:12" customFormat="1" x14ac:dyDescent="0.25">
      <c r="K279" s="5"/>
      <c r="L279" s="5"/>
    </row>
    <row r="280" spans="11:12" customFormat="1" x14ac:dyDescent="0.25">
      <c r="K280" s="5"/>
      <c r="L280" s="5"/>
    </row>
    <row r="281" spans="11:12" customFormat="1" x14ac:dyDescent="0.25">
      <c r="K281" s="5"/>
      <c r="L281" s="5"/>
    </row>
    <row r="282" spans="11:12" customFormat="1" x14ac:dyDescent="0.25">
      <c r="K282" s="5"/>
      <c r="L282" s="5"/>
    </row>
    <row r="283" spans="11:12" customFormat="1" x14ac:dyDescent="0.25">
      <c r="K283" s="5"/>
      <c r="L283" s="5"/>
    </row>
    <row r="284" spans="11:12" customFormat="1" x14ac:dyDescent="0.25">
      <c r="K284" s="5"/>
      <c r="L284" s="5"/>
    </row>
    <row r="285" spans="11:12" customFormat="1" x14ac:dyDescent="0.25">
      <c r="K285" s="5"/>
      <c r="L285" s="5"/>
    </row>
    <row r="286" spans="11:12" customFormat="1" x14ac:dyDescent="0.25">
      <c r="K286" s="5"/>
      <c r="L286" s="5"/>
    </row>
    <row r="287" spans="11:12" customFormat="1" x14ac:dyDescent="0.25">
      <c r="K287" s="5"/>
      <c r="L287" s="5"/>
    </row>
    <row r="288" spans="11:12" customFormat="1" x14ac:dyDescent="0.25">
      <c r="K288" s="5"/>
      <c r="L288" s="5"/>
    </row>
    <row r="289" spans="11:12" customFormat="1" x14ac:dyDescent="0.25">
      <c r="K289" s="5"/>
      <c r="L289" s="5"/>
    </row>
    <row r="290" spans="11:12" customFormat="1" x14ac:dyDescent="0.25">
      <c r="K290" s="5"/>
      <c r="L290" s="5"/>
    </row>
    <row r="291" spans="11:12" customFormat="1" x14ac:dyDescent="0.25">
      <c r="K291" s="5"/>
      <c r="L291" s="5"/>
    </row>
    <row r="292" spans="11:12" customFormat="1" x14ac:dyDescent="0.25">
      <c r="K292" s="5"/>
      <c r="L292" s="5"/>
    </row>
    <row r="293" spans="11:12" customFormat="1" x14ac:dyDescent="0.25">
      <c r="K293" s="5"/>
      <c r="L293" s="5"/>
    </row>
    <row r="294" spans="11:12" customFormat="1" x14ac:dyDescent="0.25">
      <c r="K294" s="5"/>
      <c r="L294" s="5"/>
    </row>
    <row r="295" spans="11:12" customFormat="1" x14ac:dyDescent="0.25">
      <c r="K295" s="5"/>
      <c r="L295" s="5"/>
    </row>
    <row r="296" spans="11:12" customFormat="1" x14ac:dyDescent="0.25">
      <c r="K296" s="5"/>
      <c r="L296" s="5"/>
    </row>
    <row r="297" spans="11:12" customFormat="1" x14ac:dyDescent="0.25">
      <c r="K297" s="5"/>
      <c r="L297" s="5"/>
    </row>
    <row r="298" spans="11:12" customFormat="1" x14ac:dyDescent="0.25">
      <c r="K298" s="5"/>
      <c r="L298" s="5"/>
    </row>
    <row r="299" spans="11:12" customFormat="1" x14ac:dyDescent="0.25">
      <c r="K299" s="5"/>
      <c r="L299" s="5"/>
    </row>
    <row r="300" spans="11:12" customFormat="1" x14ac:dyDescent="0.25">
      <c r="K300" s="5"/>
      <c r="L300" s="5"/>
    </row>
    <row r="301" spans="11:12" customFormat="1" x14ac:dyDescent="0.25">
      <c r="K301" s="5"/>
      <c r="L301" s="5"/>
    </row>
    <row r="302" spans="11:12" customFormat="1" x14ac:dyDescent="0.25">
      <c r="K302" s="5"/>
      <c r="L302" s="5"/>
    </row>
    <row r="303" spans="11:12" customFormat="1" x14ac:dyDescent="0.25">
      <c r="K303" s="5"/>
      <c r="L303" s="5"/>
    </row>
    <row r="304" spans="11:12" customFormat="1" x14ac:dyDescent="0.25">
      <c r="K304" s="5"/>
      <c r="L304" s="5"/>
    </row>
    <row r="305" spans="11:12" customFormat="1" x14ac:dyDescent="0.25">
      <c r="K305" s="5"/>
      <c r="L305" s="5"/>
    </row>
    <row r="306" spans="11:12" customFormat="1" x14ac:dyDescent="0.25">
      <c r="K306" s="5"/>
      <c r="L306" s="5"/>
    </row>
    <row r="307" spans="11:12" customFormat="1" x14ac:dyDescent="0.25">
      <c r="K307" s="5"/>
      <c r="L307" s="5"/>
    </row>
    <row r="308" spans="11:12" customFormat="1" x14ac:dyDescent="0.25">
      <c r="K308" s="5"/>
      <c r="L308" s="5"/>
    </row>
    <row r="309" spans="11:12" customFormat="1" x14ac:dyDescent="0.25">
      <c r="K309" s="5"/>
      <c r="L309" s="5"/>
    </row>
    <row r="310" spans="11:12" customFormat="1" x14ac:dyDescent="0.25">
      <c r="K310" s="5"/>
      <c r="L310" s="5"/>
    </row>
    <row r="311" spans="11:12" customFormat="1" x14ac:dyDescent="0.25">
      <c r="K311" s="5"/>
      <c r="L311" s="5"/>
    </row>
    <row r="312" spans="11:12" customFormat="1" x14ac:dyDescent="0.25">
      <c r="K312" s="5"/>
      <c r="L312" s="5"/>
    </row>
    <row r="313" spans="11:12" customFormat="1" x14ac:dyDescent="0.25">
      <c r="K313" s="5"/>
      <c r="L313" s="5"/>
    </row>
    <row r="314" spans="11:12" customFormat="1" x14ac:dyDescent="0.25">
      <c r="K314" s="5"/>
      <c r="L314" s="5"/>
    </row>
    <row r="315" spans="11:12" customFormat="1" x14ac:dyDescent="0.25">
      <c r="K315" s="5"/>
      <c r="L315" s="5"/>
    </row>
    <row r="316" spans="11:12" customFormat="1" x14ac:dyDescent="0.25">
      <c r="K316" s="5"/>
      <c r="L316" s="5"/>
    </row>
    <row r="317" spans="11:12" customFormat="1" x14ac:dyDescent="0.25">
      <c r="K317" s="5"/>
      <c r="L317" s="5"/>
    </row>
    <row r="318" spans="11:12" customFormat="1" x14ac:dyDescent="0.25">
      <c r="K318" s="5"/>
      <c r="L318" s="5"/>
    </row>
    <row r="319" spans="11:12" customFormat="1" x14ac:dyDescent="0.25">
      <c r="K319" s="5"/>
      <c r="L319" s="5"/>
    </row>
    <row r="320" spans="11:12" customFormat="1" x14ac:dyDescent="0.25">
      <c r="K320" s="5"/>
      <c r="L320" s="5"/>
    </row>
    <row r="321" spans="11:12" customFormat="1" x14ac:dyDescent="0.25">
      <c r="K321" s="5"/>
      <c r="L321" s="5"/>
    </row>
    <row r="322" spans="11:12" customFormat="1" x14ac:dyDescent="0.25">
      <c r="K322" s="5"/>
      <c r="L322" s="5"/>
    </row>
    <row r="323" spans="11:12" customFormat="1" x14ac:dyDescent="0.25">
      <c r="K323" s="5"/>
      <c r="L323" s="5"/>
    </row>
    <row r="324" spans="11:12" customFormat="1" x14ac:dyDescent="0.25">
      <c r="K324" s="5"/>
      <c r="L324" s="5"/>
    </row>
    <row r="325" spans="11:12" customFormat="1" x14ac:dyDescent="0.25">
      <c r="K325" s="5"/>
      <c r="L325" s="5"/>
    </row>
    <row r="326" spans="11:12" customFormat="1" x14ac:dyDescent="0.25">
      <c r="K326" s="5"/>
      <c r="L326" s="5"/>
    </row>
    <row r="327" spans="11:12" customFormat="1" x14ac:dyDescent="0.25">
      <c r="K327" s="5"/>
      <c r="L327" s="5"/>
    </row>
    <row r="328" spans="11:12" customFormat="1" x14ac:dyDescent="0.25">
      <c r="K328" s="5"/>
      <c r="L328" s="5"/>
    </row>
    <row r="329" spans="11:12" customFormat="1" x14ac:dyDescent="0.25">
      <c r="K329" s="5"/>
      <c r="L329" s="5"/>
    </row>
    <row r="330" spans="11:12" customFormat="1" x14ac:dyDescent="0.25">
      <c r="K330" s="5"/>
      <c r="L330" s="5"/>
    </row>
    <row r="331" spans="11:12" customFormat="1" x14ac:dyDescent="0.25">
      <c r="K331" s="5"/>
      <c r="L331" s="5"/>
    </row>
    <row r="332" spans="11:12" customFormat="1" x14ac:dyDescent="0.25">
      <c r="K332" s="5"/>
      <c r="L332" s="5"/>
    </row>
    <row r="333" spans="11:12" customFormat="1" x14ac:dyDescent="0.25">
      <c r="K333" s="5"/>
      <c r="L333" s="5"/>
    </row>
    <row r="334" spans="11:12" customFormat="1" x14ac:dyDescent="0.25">
      <c r="K334" s="5"/>
      <c r="L334" s="5"/>
    </row>
    <row r="335" spans="11:12" customFormat="1" x14ac:dyDescent="0.25">
      <c r="K335" s="5"/>
      <c r="L335" s="5"/>
    </row>
    <row r="336" spans="11:12" customFormat="1" x14ac:dyDescent="0.25">
      <c r="K336" s="5"/>
      <c r="L336" s="5"/>
    </row>
    <row r="337" spans="11:12" customFormat="1" x14ac:dyDescent="0.25">
      <c r="K337" s="5"/>
      <c r="L337" s="5"/>
    </row>
    <row r="338" spans="11:12" customFormat="1" x14ac:dyDescent="0.25">
      <c r="K338" s="5"/>
      <c r="L338" s="5"/>
    </row>
    <row r="339" spans="11:12" customFormat="1" x14ac:dyDescent="0.25">
      <c r="K339" s="5"/>
      <c r="L339" s="5"/>
    </row>
    <row r="340" spans="11:12" customFormat="1" x14ac:dyDescent="0.25">
      <c r="K340" s="5"/>
      <c r="L340" s="5"/>
    </row>
    <row r="341" spans="11:12" customFormat="1" x14ac:dyDescent="0.25">
      <c r="K341" s="5"/>
      <c r="L341" s="5"/>
    </row>
    <row r="342" spans="11:12" customFormat="1" x14ac:dyDescent="0.25">
      <c r="K342" s="5"/>
      <c r="L342" s="5"/>
    </row>
    <row r="343" spans="11:12" customFormat="1" x14ac:dyDescent="0.25">
      <c r="K343" s="5"/>
      <c r="L343" s="5"/>
    </row>
    <row r="344" spans="11:12" customFormat="1" x14ac:dyDescent="0.25">
      <c r="K344" s="5"/>
      <c r="L344" s="5"/>
    </row>
    <row r="345" spans="11:12" customFormat="1" x14ac:dyDescent="0.25">
      <c r="K345" s="5"/>
      <c r="L345" s="5"/>
    </row>
    <row r="346" spans="11:12" customFormat="1" x14ac:dyDescent="0.25">
      <c r="K346" s="5"/>
      <c r="L346" s="5"/>
    </row>
    <row r="347" spans="11:12" customFormat="1" x14ac:dyDescent="0.25">
      <c r="K347" s="5"/>
      <c r="L347" s="5"/>
    </row>
    <row r="348" spans="11:12" customFormat="1" x14ac:dyDescent="0.25">
      <c r="K348" s="5"/>
      <c r="L348" s="5"/>
    </row>
    <row r="349" spans="11:12" customFormat="1" x14ac:dyDescent="0.25">
      <c r="K349" s="5"/>
      <c r="L349" s="5"/>
    </row>
    <row r="350" spans="11:12" customFormat="1" x14ac:dyDescent="0.25">
      <c r="K350" s="5"/>
      <c r="L350" s="5"/>
    </row>
    <row r="351" spans="11:12" customFormat="1" x14ac:dyDescent="0.25">
      <c r="K351" s="5"/>
      <c r="L351" s="5"/>
    </row>
    <row r="352" spans="11:12" customFormat="1" x14ac:dyDescent="0.25">
      <c r="K352" s="5"/>
      <c r="L352" s="5"/>
    </row>
    <row r="353" spans="11:12" customFormat="1" x14ac:dyDescent="0.25">
      <c r="K353" s="5"/>
      <c r="L353" s="5"/>
    </row>
    <row r="354" spans="11:12" customFormat="1" x14ac:dyDescent="0.25">
      <c r="K354" s="5"/>
      <c r="L354" s="5"/>
    </row>
    <row r="355" spans="11:12" customFormat="1" x14ac:dyDescent="0.25">
      <c r="K355" s="5"/>
      <c r="L355" s="5"/>
    </row>
    <row r="356" spans="11:12" customFormat="1" x14ac:dyDescent="0.25">
      <c r="K356" s="5"/>
      <c r="L356" s="5"/>
    </row>
    <row r="357" spans="11:12" customFormat="1" x14ac:dyDescent="0.25">
      <c r="K357" s="5"/>
      <c r="L357" s="5"/>
    </row>
    <row r="358" spans="11:12" customFormat="1" x14ac:dyDescent="0.25">
      <c r="K358" s="5"/>
      <c r="L358" s="5"/>
    </row>
    <row r="359" spans="11:12" customFormat="1" x14ac:dyDescent="0.25">
      <c r="K359" s="5"/>
      <c r="L359" s="5"/>
    </row>
    <row r="360" spans="11:12" customFormat="1" x14ac:dyDescent="0.25">
      <c r="K360" s="5"/>
      <c r="L360" s="5"/>
    </row>
    <row r="361" spans="11:12" customFormat="1" x14ac:dyDescent="0.25">
      <c r="K361" s="5"/>
      <c r="L361" s="5"/>
    </row>
    <row r="362" spans="11:12" customFormat="1" x14ac:dyDescent="0.25">
      <c r="K362" s="5"/>
      <c r="L362" s="5"/>
    </row>
    <row r="363" spans="11:12" customFormat="1" x14ac:dyDescent="0.25">
      <c r="K363" s="5"/>
      <c r="L363" s="5"/>
    </row>
    <row r="364" spans="11:12" customFormat="1" x14ac:dyDescent="0.25">
      <c r="K364" s="5"/>
      <c r="L364" s="5"/>
    </row>
    <row r="365" spans="11:12" customFormat="1" x14ac:dyDescent="0.25">
      <c r="K365" s="5"/>
      <c r="L365" s="5"/>
    </row>
    <row r="366" spans="11:12" customFormat="1" x14ac:dyDescent="0.25">
      <c r="K366" s="5"/>
      <c r="L366" s="5"/>
    </row>
    <row r="367" spans="11:12" customFormat="1" x14ac:dyDescent="0.25">
      <c r="K367" s="5"/>
      <c r="L367" s="5"/>
    </row>
    <row r="368" spans="11:12" customFormat="1" x14ac:dyDescent="0.25">
      <c r="K368" s="5"/>
      <c r="L368" s="5"/>
    </row>
    <row r="369" spans="11:12" customFormat="1" x14ac:dyDescent="0.25">
      <c r="K369" s="5"/>
      <c r="L369" s="5"/>
    </row>
    <row r="370" spans="11:12" customFormat="1" x14ac:dyDescent="0.25">
      <c r="K370" s="5"/>
      <c r="L370" s="5"/>
    </row>
    <row r="371" spans="11:12" customFormat="1" x14ac:dyDescent="0.25">
      <c r="K371" s="5"/>
      <c r="L371" s="5"/>
    </row>
    <row r="372" spans="11:12" customFormat="1" x14ac:dyDescent="0.25">
      <c r="K372" s="5"/>
      <c r="L372" s="5"/>
    </row>
    <row r="373" spans="11:12" customFormat="1" x14ac:dyDescent="0.25">
      <c r="K373" s="5"/>
      <c r="L373" s="5"/>
    </row>
    <row r="374" spans="11:12" customFormat="1" x14ac:dyDescent="0.25">
      <c r="K374" s="5"/>
      <c r="L374" s="5"/>
    </row>
    <row r="375" spans="11:12" customFormat="1" x14ac:dyDescent="0.25">
      <c r="K375" s="5"/>
      <c r="L375" s="5"/>
    </row>
    <row r="376" spans="11:12" customFormat="1" x14ac:dyDescent="0.25">
      <c r="K376" s="5"/>
      <c r="L376" s="5"/>
    </row>
    <row r="377" spans="11:12" customFormat="1" x14ac:dyDescent="0.25">
      <c r="K377" s="5"/>
      <c r="L377" s="5"/>
    </row>
    <row r="378" spans="11:12" customFormat="1" x14ac:dyDescent="0.25">
      <c r="K378" s="5"/>
      <c r="L378" s="5"/>
    </row>
    <row r="379" spans="11:12" customFormat="1" x14ac:dyDescent="0.25">
      <c r="K379" s="5"/>
      <c r="L379" s="5"/>
    </row>
    <row r="380" spans="11:12" customFormat="1" x14ac:dyDescent="0.25">
      <c r="K380" s="5"/>
      <c r="L380" s="5"/>
    </row>
    <row r="381" spans="11:12" customFormat="1" x14ac:dyDescent="0.25">
      <c r="K381" s="5"/>
      <c r="L381" s="5"/>
    </row>
    <row r="382" spans="11:12" customFormat="1" x14ac:dyDescent="0.25">
      <c r="K382" s="5"/>
      <c r="L382" s="5"/>
    </row>
    <row r="383" spans="11:12" customFormat="1" x14ac:dyDescent="0.25">
      <c r="K383" s="5"/>
      <c r="L383" s="5"/>
    </row>
    <row r="384" spans="11:12" customFormat="1" x14ac:dyDescent="0.25">
      <c r="K384" s="5"/>
      <c r="L384" s="5"/>
    </row>
    <row r="385" spans="11:12" customFormat="1" x14ac:dyDescent="0.25">
      <c r="K385" s="5"/>
      <c r="L385" s="5"/>
    </row>
    <row r="386" spans="11:12" customFormat="1" x14ac:dyDescent="0.25">
      <c r="K386" s="5"/>
      <c r="L386" s="5"/>
    </row>
    <row r="387" spans="11:12" customFormat="1" x14ac:dyDescent="0.25">
      <c r="K387" s="5"/>
      <c r="L387" s="5"/>
    </row>
    <row r="388" spans="11:12" customFormat="1" x14ac:dyDescent="0.25">
      <c r="K388" s="5"/>
      <c r="L388" s="5"/>
    </row>
    <row r="389" spans="11:12" customFormat="1" x14ac:dyDescent="0.25">
      <c r="K389" s="5"/>
      <c r="L389" s="5"/>
    </row>
    <row r="390" spans="11:12" customFormat="1" x14ac:dyDescent="0.25">
      <c r="K390" s="5"/>
      <c r="L390" s="5"/>
    </row>
    <row r="391" spans="11:12" customFormat="1" x14ac:dyDescent="0.25">
      <c r="K391" s="5"/>
      <c r="L391" s="5"/>
    </row>
    <row r="392" spans="11:12" customFormat="1" x14ac:dyDescent="0.25">
      <c r="K392" s="5"/>
      <c r="L392" s="5"/>
    </row>
    <row r="393" spans="11:12" customFormat="1" x14ac:dyDescent="0.25">
      <c r="K393" s="5"/>
      <c r="L393" s="5"/>
    </row>
    <row r="394" spans="11:12" customFormat="1" x14ac:dyDescent="0.25">
      <c r="K394" s="5"/>
      <c r="L394" s="5"/>
    </row>
    <row r="395" spans="11:12" customFormat="1" x14ac:dyDescent="0.25">
      <c r="K395" s="5"/>
      <c r="L395" s="5"/>
    </row>
    <row r="396" spans="11:12" customFormat="1" x14ac:dyDescent="0.25">
      <c r="K396" s="5"/>
      <c r="L396" s="5"/>
    </row>
    <row r="397" spans="11:12" customFormat="1" x14ac:dyDescent="0.25">
      <c r="K397" s="5"/>
      <c r="L397" s="5"/>
    </row>
    <row r="398" spans="11:12" customFormat="1" x14ac:dyDescent="0.25">
      <c r="K398" s="5"/>
      <c r="L398" s="5"/>
    </row>
    <row r="399" spans="11:12" customFormat="1" x14ac:dyDescent="0.25">
      <c r="K399" s="5"/>
      <c r="L399" s="5"/>
    </row>
    <row r="400" spans="11:12" customFormat="1" x14ac:dyDescent="0.25">
      <c r="K400" s="5"/>
      <c r="L400" s="5"/>
    </row>
    <row r="401" spans="11:12" customFormat="1" x14ac:dyDescent="0.25">
      <c r="K401" s="5"/>
      <c r="L401" s="5"/>
    </row>
    <row r="402" spans="11:12" customFormat="1" x14ac:dyDescent="0.25">
      <c r="K402" s="5"/>
      <c r="L402" s="5"/>
    </row>
    <row r="403" spans="11:12" customFormat="1" x14ac:dyDescent="0.25">
      <c r="K403" s="5"/>
      <c r="L403" s="5"/>
    </row>
    <row r="404" spans="11:12" customFormat="1" x14ac:dyDescent="0.25">
      <c r="K404" s="5"/>
      <c r="L404" s="5"/>
    </row>
    <row r="405" spans="11:12" customFormat="1" x14ac:dyDescent="0.25">
      <c r="K405" s="5"/>
      <c r="L405" s="5"/>
    </row>
    <row r="406" spans="11:12" customFormat="1" x14ac:dyDescent="0.25">
      <c r="K406" s="5"/>
      <c r="L406" s="5"/>
    </row>
    <row r="407" spans="11:12" customFormat="1" x14ac:dyDescent="0.25">
      <c r="K407" s="5"/>
      <c r="L407" s="5"/>
    </row>
    <row r="408" spans="11:12" customFormat="1" x14ac:dyDescent="0.25">
      <c r="K408" s="5"/>
      <c r="L408" s="5"/>
    </row>
    <row r="409" spans="11:12" customFormat="1" x14ac:dyDescent="0.25">
      <c r="K409" s="5"/>
      <c r="L409" s="5"/>
    </row>
    <row r="410" spans="11:12" customFormat="1" x14ac:dyDescent="0.25">
      <c r="K410" s="5"/>
      <c r="L410" s="5"/>
    </row>
    <row r="411" spans="11:12" customFormat="1" x14ac:dyDescent="0.25">
      <c r="K411" s="5"/>
      <c r="L411" s="5"/>
    </row>
    <row r="412" spans="11:12" customFormat="1" x14ac:dyDescent="0.25">
      <c r="K412" s="5"/>
      <c r="L412" s="5"/>
    </row>
    <row r="413" spans="11:12" customFormat="1" x14ac:dyDescent="0.25">
      <c r="K413" s="5"/>
      <c r="L413" s="5"/>
    </row>
    <row r="414" spans="11:12" customFormat="1" x14ac:dyDescent="0.25">
      <c r="K414" s="5"/>
      <c r="L414" s="5"/>
    </row>
    <row r="415" spans="11:12" customFormat="1" x14ac:dyDescent="0.25">
      <c r="K415" s="5"/>
      <c r="L415" s="5"/>
    </row>
    <row r="416" spans="11:12" customFormat="1" x14ac:dyDescent="0.25">
      <c r="K416" s="5"/>
      <c r="L416" s="5"/>
    </row>
    <row r="417" spans="11:12" customFormat="1" x14ac:dyDescent="0.25">
      <c r="K417" s="5"/>
      <c r="L417" s="5"/>
    </row>
    <row r="418" spans="11:12" customFormat="1" x14ac:dyDescent="0.25">
      <c r="K418" s="5"/>
      <c r="L418" s="5"/>
    </row>
    <row r="419" spans="11:12" customFormat="1" x14ac:dyDescent="0.25">
      <c r="K419" s="5"/>
      <c r="L419" s="5"/>
    </row>
    <row r="420" spans="11:12" customFormat="1" x14ac:dyDescent="0.25">
      <c r="K420" s="5"/>
      <c r="L420" s="5"/>
    </row>
    <row r="421" spans="11:12" customFormat="1" x14ac:dyDescent="0.25">
      <c r="K421" s="5"/>
      <c r="L421" s="5"/>
    </row>
    <row r="422" spans="11:12" customFormat="1" x14ac:dyDescent="0.25">
      <c r="K422" s="5"/>
      <c r="L422" s="5"/>
    </row>
    <row r="423" spans="11:12" customFormat="1" x14ac:dyDescent="0.25">
      <c r="K423" s="5"/>
      <c r="L423" s="5"/>
    </row>
    <row r="424" spans="11:12" customFormat="1" x14ac:dyDescent="0.25">
      <c r="K424" s="5"/>
      <c r="L424" s="5"/>
    </row>
    <row r="425" spans="11:12" customFormat="1" x14ac:dyDescent="0.25">
      <c r="K425" s="5"/>
      <c r="L425" s="5"/>
    </row>
    <row r="426" spans="11:12" customFormat="1" x14ac:dyDescent="0.25">
      <c r="K426" s="5"/>
      <c r="L426" s="5"/>
    </row>
    <row r="427" spans="11:12" customFormat="1" x14ac:dyDescent="0.25">
      <c r="K427" s="5"/>
      <c r="L427" s="5"/>
    </row>
    <row r="428" spans="11:12" customFormat="1" x14ac:dyDescent="0.25">
      <c r="K428" s="5"/>
      <c r="L428" s="5"/>
    </row>
    <row r="429" spans="11:12" customFormat="1" x14ac:dyDescent="0.25">
      <c r="K429" s="5"/>
      <c r="L429" s="5"/>
    </row>
    <row r="430" spans="11:12" customFormat="1" x14ac:dyDescent="0.25">
      <c r="K430" s="5"/>
      <c r="L430" s="5"/>
    </row>
    <row r="431" spans="11:12" customFormat="1" x14ac:dyDescent="0.25">
      <c r="K431" s="5"/>
      <c r="L431" s="5"/>
    </row>
    <row r="432" spans="11:12" customFormat="1" x14ac:dyDescent="0.25">
      <c r="K432" s="5"/>
      <c r="L432" s="5"/>
    </row>
    <row r="433" spans="11:12" customFormat="1" x14ac:dyDescent="0.25">
      <c r="K433" s="5"/>
      <c r="L433" s="5"/>
    </row>
    <row r="434" spans="11:12" customFormat="1" x14ac:dyDescent="0.25">
      <c r="K434" s="5"/>
      <c r="L434" s="5"/>
    </row>
    <row r="435" spans="11:12" customFormat="1" x14ac:dyDescent="0.25">
      <c r="K435" s="5"/>
      <c r="L435" s="5"/>
    </row>
    <row r="436" spans="11:12" customFormat="1" x14ac:dyDescent="0.25">
      <c r="K436" s="5"/>
      <c r="L436" s="5"/>
    </row>
    <row r="437" spans="11:12" customFormat="1" x14ac:dyDescent="0.25">
      <c r="K437" s="5"/>
      <c r="L437" s="5"/>
    </row>
    <row r="438" spans="11:12" customFormat="1" x14ac:dyDescent="0.25">
      <c r="K438" s="5"/>
      <c r="L438" s="5"/>
    </row>
    <row r="439" spans="11:12" customFormat="1" x14ac:dyDescent="0.25">
      <c r="K439" s="5"/>
      <c r="L439" s="5"/>
    </row>
    <row r="440" spans="11:12" customFormat="1" x14ac:dyDescent="0.25">
      <c r="K440" s="5"/>
      <c r="L440" s="5"/>
    </row>
    <row r="441" spans="11:12" customFormat="1" x14ac:dyDescent="0.25">
      <c r="K441" s="5"/>
      <c r="L441" s="5"/>
    </row>
    <row r="442" spans="11:12" customFormat="1" x14ac:dyDescent="0.25">
      <c r="K442" s="5"/>
      <c r="L442" s="5"/>
    </row>
    <row r="443" spans="11:12" customFormat="1" x14ac:dyDescent="0.25">
      <c r="K443" s="5"/>
      <c r="L443" s="5"/>
    </row>
    <row r="444" spans="11:12" customFormat="1" x14ac:dyDescent="0.25">
      <c r="K444" s="5"/>
      <c r="L444" s="5"/>
    </row>
    <row r="445" spans="11:12" customFormat="1" x14ac:dyDescent="0.25">
      <c r="K445" s="5"/>
      <c r="L445" s="5"/>
    </row>
    <row r="446" spans="11:12" customFormat="1" x14ac:dyDescent="0.25">
      <c r="K446" s="5"/>
      <c r="L446" s="5"/>
    </row>
    <row r="447" spans="11:12" customFormat="1" x14ac:dyDescent="0.25">
      <c r="K447" s="5"/>
      <c r="L447" s="5"/>
    </row>
    <row r="448" spans="11:12" customFormat="1" x14ac:dyDescent="0.25">
      <c r="K448" s="5"/>
      <c r="L448" s="5"/>
    </row>
    <row r="449" spans="11:12" customFormat="1" x14ac:dyDescent="0.25">
      <c r="K449" s="5"/>
      <c r="L449" s="5"/>
    </row>
    <row r="450" spans="11:12" customFormat="1" x14ac:dyDescent="0.25">
      <c r="K450" s="5"/>
      <c r="L450" s="5"/>
    </row>
    <row r="451" spans="11:12" customFormat="1" x14ac:dyDescent="0.25">
      <c r="K451" s="5"/>
      <c r="L451" s="5"/>
    </row>
    <row r="452" spans="11:12" customFormat="1" x14ac:dyDescent="0.25">
      <c r="K452" s="5"/>
      <c r="L452" s="5"/>
    </row>
    <row r="453" spans="11:12" customFormat="1" x14ac:dyDescent="0.25">
      <c r="K453" s="5"/>
      <c r="L453" s="5"/>
    </row>
    <row r="454" spans="11:12" customFormat="1" x14ac:dyDescent="0.25">
      <c r="K454" s="5"/>
      <c r="L454" s="5"/>
    </row>
    <row r="455" spans="11:12" customFormat="1" x14ac:dyDescent="0.25">
      <c r="K455" s="5"/>
      <c r="L455" s="5"/>
    </row>
    <row r="456" spans="11:12" customFormat="1" x14ac:dyDescent="0.25">
      <c r="K456" s="5"/>
      <c r="L456" s="5"/>
    </row>
    <row r="457" spans="11:12" customFormat="1" x14ac:dyDescent="0.25">
      <c r="K457" s="5"/>
      <c r="L457" s="5"/>
    </row>
    <row r="458" spans="11:12" customFormat="1" x14ac:dyDescent="0.25">
      <c r="K458" s="5"/>
      <c r="L458" s="5"/>
    </row>
    <row r="459" spans="11:12" customFormat="1" x14ac:dyDescent="0.25">
      <c r="K459" s="5"/>
      <c r="L459" s="5"/>
    </row>
    <row r="460" spans="11:12" customFormat="1" x14ac:dyDescent="0.25">
      <c r="K460" s="5"/>
      <c r="L460" s="5"/>
    </row>
    <row r="461" spans="11:12" customFormat="1" x14ac:dyDescent="0.25">
      <c r="K461" s="5"/>
      <c r="L461" s="5"/>
    </row>
    <row r="462" spans="11:12" customFormat="1" x14ac:dyDescent="0.25">
      <c r="K462" s="5"/>
      <c r="L462" s="5"/>
    </row>
    <row r="463" spans="11:12" customFormat="1" x14ac:dyDescent="0.25">
      <c r="K463" s="5"/>
      <c r="L463" s="5"/>
    </row>
    <row r="464" spans="11:12" customFormat="1" x14ac:dyDescent="0.25">
      <c r="K464" s="5"/>
      <c r="L464" s="5"/>
    </row>
    <row r="465" spans="11:12" customFormat="1" x14ac:dyDescent="0.25">
      <c r="K465" s="5"/>
      <c r="L465" s="5"/>
    </row>
    <row r="466" spans="11:12" customFormat="1" x14ac:dyDescent="0.25">
      <c r="K466" s="5"/>
      <c r="L466" s="5"/>
    </row>
    <row r="467" spans="11:12" customFormat="1" x14ac:dyDescent="0.25">
      <c r="K467" s="5"/>
      <c r="L467" s="5"/>
    </row>
    <row r="468" spans="11:12" customFormat="1" x14ac:dyDescent="0.25">
      <c r="K468" s="5"/>
      <c r="L468" s="5"/>
    </row>
    <row r="469" spans="11:12" customFormat="1" x14ac:dyDescent="0.25">
      <c r="K469" s="5"/>
      <c r="L469" s="5"/>
    </row>
    <row r="470" spans="11:12" customFormat="1" x14ac:dyDescent="0.25">
      <c r="K470" s="5"/>
      <c r="L470" s="5"/>
    </row>
    <row r="471" spans="11:12" customFormat="1" x14ac:dyDescent="0.25">
      <c r="K471" s="5"/>
      <c r="L471" s="5"/>
    </row>
    <row r="472" spans="11:12" customFormat="1" x14ac:dyDescent="0.25">
      <c r="K472" s="5"/>
      <c r="L472" s="5"/>
    </row>
    <row r="473" spans="11:12" customFormat="1" x14ac:dyDescent="0.25">
      <c r="K473" s="5"/>
      <c r="L473" s="5"/>
    </row>
    <row r="474" spans="11:12" customFormat="1" x14ac:dyDescent="0.25">
      <c r="K474" s="5"/>
      <c r="L474" s="5"/>
    </row>
    <row r="475" spans="11:12" customFormat="1" x14ac:dyDescent="0.25">
      <c r="K475" s="5"/>
      <c r="L475" s="5"/>
    </row>
    <row r="476" spans="11:12" customFormat="1" x14ac:dyDescent="0.25">
      <c r="K476" s="5"/>
      <c r="L476" s="5"/>
    </row>
    <row r="477" spans="11:12" customFormat="1" x14ac:dyDescent="0.25">
      <c r="K477" s="5"/>
      <c r="L477" s="5"/>
    </row>
    <row r="478" spans="11:12" customFormat="1" x14ac:dyDescent="0.25">
      <c r="K478" s="5"/>
      <c r="L478" s="5"/>
    </row>
    <row r="479" spans="11:12" customFormat="1" x14ac:dyDescent="0.25">
      <c r="K479" s="5"/>
      <c r="L479" s="5"/>
    </row>
    <row r="480" spans="11:12" customFormat="1" x14ac:dyDescent="0.25">
      <c r="K480" s="5"/>
      <c r="L480" s="5"/>
    </row>
    <row r="481" spans="11:12" customFormat="1" x14ac:dyDescent="0.25">
      <c r="K481" s="5"/>
      <c r="L481" s="5"/>
    </row>
    <row r="482" spans="11:12" customFormat="1" x14ac:dyDescent="0.25">
      <c r="K482" s="5"/>
      <c r="L482" s="5"/>
    </row>
    <row r="483" spans="11:12" customFormat="1" x14ac:dyDescent="0.25">
      <c r="K483" s="5"/>
      <c r="L483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10" sqref="B10:I10"/>
    </sheetView>
  </sheetViews>
  <sheetFormatPr defaultRowHeight="15" x14ac:dyDescent="0.25"/>
  <sheetData>
    <row r="1" spans="1:10" x14ac:dyDescent="0.25">
      <c r="A1" t="s">
        <v>6851</v>
      </c>
      <c r="B1">
        <v>4042016</v>
      </c>
    </row>
    <row r="2" spans="1:10" x14ac:dyDescent="0.25">
      <c r="A2" t="s">
        <v>6852</v>
      </c>
      <c r="B2" t="s">
        <v>6853</v>
      </c>
      <c r="C2" t="s">
        <v>6854</v>
      </c>
      <c r="D2" t="s">
        <v>6850</v>
      </c>
    </row>
    <row r="4" spans="1:10" x14ac:dyDescent="0.25">
      <c r="B4">
        <v>20042016</v>
      </c>
    </row>
    <row r="5" spans="1:10" x14ac:dyDescent="0.25">
      <c r="A5" t="s">
        <v>6855</v>
      </c>
      <c r="B5" t="s">
        <v>6856</v>
      </c>
      <c r="C5" t="s">
        <v>6857</v>
      </c>
    </row>
    <row r="7" spans="1:10" x14ac:dyDescent="0.25">
      <c r="B7">
        <v>23052016</v>
      </c>
    </row>
    <row r="8" spans="1:10" x14ac:dyDescent="0.25">
      <c r="A8" t="s">
        <v>6926</v>
      </c>
      <c r="B8" t="s">
        <v>1229</v>
      </c>
      <c r="C8" s="9">
        <v>0</v>
      </c>
      <c r="D8">
        <v>150</v>
      </c>
      <c r="E8" s="9" t="s">
        <v>1230</v>
      </c>
      <c r="G8" s="5" t="s">
        <v>5076</v>
      </c>
      <c r="H8" s="5" t="s">
        <v>3939</v>
      </c>
      <c r="I8" s="5" t="s">
        <v>4324</v>
      </c>
      <c r="J8" s="6"/>
    </row>
    <row r="9" spans="1:10" x14ac:dyDescent="0.25">
      <c r="B9" t="s">
        <v>1231</v>
      </c>
      <c r="C9" s="10">
        <v>-150</v>
      </c>
      <c r="D9">
        <v>150</v>
      </c>
      <c r="E9" s="9" t="s">
        <v>1232</v>
      </c>
      <c r="G9" s="5" t="s">
        <v>5077</v>
      </c>
      <c r="H9" s="5" t="s">
        <v>4097</v>
      </c>
      <c r="I9" s="5" t="s">
        <v>3957</v>
      </c>
      <c r="J9" s="6"/>
    </row>
    <row r="10" spans="1:10" x14ac:dyDescent="0.25">
      <c r="A10" t="s">
        <v>6927</v>
      </c>
      <c r="B10" t="s">
        <v>6928</v>
      </c>
      <c r="C10" s="9">
        <v>-150</v>
      </c>
      <c r="D10">
        <v>150</v>
      </c>
      <c r="E10" s="9" t="s">
        <v>6929</v>
      </c>
      <c r="G10" s="5" t="s">
        <v>5076</v>
      </c>
      <c r="H10" s="5" t="s">
        <v>3939</v>
      </c>
      <c r="I10" s="5" t="s">
        <v>4324</v>
      </c>
    </row>
  </sheetData>
  <conditionalFormatting sqref="B8:B9">
    <cfRule type="duplicateValues" dxfId="11" priority="7"/>
  </conditionalFormatting>
  <conditionalFormatting sqref="E8:E9">
    <cfRule type="duplicateValues" dxfId="10" priority="8"/>
  </conditionalFormatting>
  <conditionalFormatting sqref="E8:E9 M9:M10">
    <cfRule type="duplicateValues" dxfId="9" priority="6"/>
  </conditionalFormatting>
  <conditionalFormatting sqref="B8:B9 L9:L10">
    <cfRule type="duplicateValues" dxfId="8" priority="5"/>
  </conditionalFormatting>
  <conditionalFormatting sqref="B10">
    <cfRule type="duplicateValues" dxfId="7" priority="3"/>
  </conditionalFormatting>
  <conditionalFormatting sqref="E10">
    <cfRule type="duplicateValues" dxfId="6" priority="4"/>
  </conditionalFormatting>
  <conditionalFormatting sqref="E10">
    <cfRule type="duplicateValues" dxfId="5" priority="2"/>
  </conditionalFormatting>
  <conditionalFormatting sqref="B10">
    <cfRule type="duplicateValues" dxfId="4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7"/>
  <sheetViews>
    <sheetView topLeftCell="A1429" workbookViewId="0">
      <selection activeCell="B1449" sqref="B1449"/>
    </sheetView>
  </sheetViews>
  <sheetFormatPr defaultRowHeight="15" x14ac:dyDescent="0.25"/>
  <cols>
    <col min="1" max="1" width="13.85546875" bestFit="1" customWidth="1"/>
    <col min="2" max="2" width="49.42578125" style="5" bestFit="1" customWidth="1"/>
  </cols>
  <sheetData>
    <row r="1" spans="1:2" ht="15.75" thickBot="1" x14ac:dyDescent="0.3">
      <c r="A1" s="15" t="s">
        <v>4</v>
      </c>
      <c r="B1" s="33" t="s">
        <v>3864</v>
      </c>
    </row>
    <row r="2" spans="1:2" x14ac:dyDescent="0.25">
      <c r="A2" t="s">
        <v>8</v>
      </c>
      <c r="B2" s="5" t="s">
        <v>3870</v>
      </c>
    </row>
    <row r="3" spans="1:2" x14ac:dyDescent="0.25">
      <c r="A3" t="s">
        <v>10</v>
      </c>
      <c r="B3" s="5" t="s">
        <v>3870</v>
      </c>
    </row>
    <row r="4" spans="1:2" x14ac:dyDescent="0.25">
      <c r="A4" t="s">
        <v>12</v>
      </c>
      <c r="B4" s="5" t="s">
        <v>3870</v>
      </c>
    </row>
    <row r="5" spans="1:2" x14ac:dyDescent="0.25">
      <c r="A5" t="s">
        <v>14</v>
      </c>
      <c r="B5" s="5" t="s">
        <v>3870</v>
      </c>
    </row>
    <row r="6" spans="1:2" x14ac:dyDescent="0.25">
      <c r="A6" t="s">
        <v>16</v>
      </c>
      <c r="B6" s="5" t="s">
        <v>3870</v>
      </c>
    </row>
    <row r="7" spans="1:2" x14ac:dyDescent="0.25">
      <c r="A7" t="s">
        <v>18</v>
      </c>
      <c r="B7" s="5" t="s">
        <v>3870</v>
      </c>
    </row>
    <row r="8" spans="1:2" x14ac:dyDescent="0.25">
      <c r="A8" t="s">
        <v>20</v>
      </c>
      <c r="B8" s="5" t="s">
        <v>3878</v>
      </c>
    </row>
    <row r="9" spans="1:2" x14ac:dyDescent="0.25">
      <c r="A9" t="s">
        <v>22</v>
      </c>
      <c r="B9" s="5" t="s">
        <v>3870</v>
      </c>
    </row>
    <row r="10" spans="1:2" x14ac:dyDescent="0.25">
      <c r="A10" t="s">
        <v>24</v>
      </c>
      <c r="B10" s="5" t="s">
        <v>3870</v>
      </c>
    </row>
    <row r="11" spans="1:2" x14ac:dyDescent="0.25">
      <c r="A11" t="s">
        <v>26</v>
      </c>
      <c r="B11" s="5" t="s">
        <v>3884</v>
      </c>
    </row>
    <row r="12" spans="1:2" x14ac:dyDescent="0.25">
      <c r="A12" t="s">
        <v>28</v>
      </c>
      <c r="B12" s="5" t="s">
        <v>3884</v>
      </c>
    </row>
    <row r="13" spans="1:2" x14ac:dyDescent="0.25">
      <c r="A13" t="s">
        <v>30</v>
      </c>
      <c r="B13" s="5" t="s">
        <v>3884</v>
      </c>
    </row>
    <row r="14" spans="1:2" x14ac:dyDescent="0.25">
      <c r="A14" t="s">
        <v>32</v>
      </c>
      <c r="B14" s="5" t="s">
        <v>3884</v>
      </c>
    </row>
    <row r="15" spans="1:2" x14ac:dyDescent="0.25">
      <c r="A15" t="s">
        <v>34</v>
      </c>
      <c r="B15" s="5" t="s">
        <v>3884</v>
      </c>
    </row>
    <row r="16" spans="1:2" x14ac:dyDescent="0.25">
      <c r="A16" t="s">
        <v>36</v>
      </c>
      <c r="B16" s="5" t="s">
        <v>3884</v>
      </c>
    </row>
    <row r="17" spans="1:2" x14ac:dyDescent="0.25">
      <c r="A17" t="s">
        <v>38</v>
      </c>
      <c r="B17" s="5" t="s">
        <v>3870</v>
      </c>
    </row>
    <row r="18" spans="1:2" x14ac:dyDescent="0.25">
      <c r="A18" t="s">
        <v>40</v>
      </c>
      <c r="B18" s="5" t="s">
        <v>3894</v>
      </c>
    </row>
    <row r="19" spans="1:2" x14ac:dyDescent="0.25">
      <c r="A19" t="s">
        <v>42</v>
      </c>
      <c r="B19" s="5" t="s">
        <v>3894</v>
      </c>
    </row>
    <row r="20" spans="1:2" x14ac:dyDescent="0.25">
      <c r="A20" t="s">
        <v>44</v>
      </c>
      <c r="B20" s="5" t="s">
        <v>3870</v>
      </c>
    </row>
    <row r="21" spans="1:2" x14ac:dyDescent="0.25">
      <c r="A21" t="s">
        <v>46</v>
      </c>
      <c r="B21" s="5" t="s">
        <v>3901</v>
      </c>
    </row>
    <row r="22" spans="1:2" x14ac:dyDescent="0.25">
      <c r="A22" t="s">
        <v>48</v>
      </c>
      <c r="B22" s="5" t="s">
        <v>3870</v>
      </c>
    </row>
    <row r="23" spans="1:2" x14ac:dyDescent="0.25">
      <c r="A23" t="s">
        <v>50</v>
      </c>
      <c r="B23" s="5" t="s">
        <v>3878</v>
      </c>
    </row>
    <row r="24" spans="1:2" x14ac:dyDescent="0.25">
      <c r="A24" t="s">
        <v>52</v>
      </c>
      <c r="B24" s="5" t="s">
        <v>3901</v>
      </c>
    </row>
    <row r="25" spans="1:2" x14ac:dyDescent="0.25">
      <c r="A25" t="s">
        <v>53</v>
      </c>
      <c r="B25" s="5" t="s">
        <v>3870</v>
      </c>
    </row>
    <row r="26" spans="1:2" x14ac:dyDescent="0.25">
      <c r="A26" t="s">
        <v>55</v>
      </c>
      <c r="B26" s="5" t="s">
        <v>3884</v>
      </c>
    </row>
    <row r="27" spans="1:2" x14ac:dyDescent="0.25">
      <c r="A27" t="s">
        <v>57</v>
      </c>
      <c r="B27" s="5" t="s">
        <v>3894</v>
      </c>
    </row>
    <row r="28" spans="1:2" x14ac:dyDescent="0.25">
      <c r="A28" t="s">
        <v>59</v>
      </c>
      <c r="B28" s="5" t="s">
        <v>3894</v>
      </c>
    </row>
    <row r="29" spans="1:2" x14ac:dyDescent="0.25">
      <c r="A29" t="s">
        <v>61</v>
      </c>
      <c r="B29" s="5" t="s">
        <v>3920</v>
      </c>
    </row>
    <row r="30" spans="1:2" x14ac:dyDescent="0.25">
      <c r="A30" t="s">
        <v>62</v>
      </c>
      <c r="B30" s="5" t="s">
        <v>3922</v>
      </c>
    </row>
    <row r="31" spans="1:2" x14ac:dyDescent="0.25">
      <c r="A31" t="s">
        <v>64</v>
      </c>
      <c r="B31" s="5" t="s">
        <v>3920</v>
      </c>
    </row>
    <row r="32" spans="1:2" x14ac:dyDescent="0.25">
      <c r="A32" t="s">
        <v>65</v>
      </c>
      <c r="B32" s="5" t="s">
        <v>3884</v>
      </c>
    </row>
    <row r="33" spans="1:2" x14ac:dyDescent="0.25">
      <c r="A33" t="s">
        <v>67</v>
      </c>
      <c r="B33" s="5" t="s">
        <v>3870</v>
      </c>
    </row>
    <row r="34" spans="1:2" x14ac:dyDescent="0.25">
      <c r="A34" t="s">
        <v>69</v>
      </c>
      <c r="B34" s="5" t="s">
        <v>3901</v>
      </c>
    </row>
    <row r="35" spans="1:2" x14ac:dyDescent="0.25">
      <c r="A35" t="s">
        <v>71</v>
      </c>
      <c r="B35" s="5" t="s">
        <v>3894</v>
      </c>
    </row>
    <row r="36" spans="1:2" x14ac:dyDescent="0.25">
      <c r="A36" t="s">
        <v>73</v>
      </c>
      <c r="B36" s="5" t="s">
        <v>3936</v>
      </c>
    </row>
    <row r="37" spans="1:2" x14ac:dyDescent="0.25">
      <c r="A37" t="s">
        <v>75</v>
      </c>
      <c r="B37" s="5" t="s">
        <v>3939</v>
      </c>
    </row>
    <row r="38" spans="1:2" x14ac:dyDescent="0.25">
      <c r="A38" t="s">
        <v>77</v>
      </c>
      <c r="B38" s="5" t="s">
        <v>3894</v>
      </c>
    </row>
    <row r="39" spans="1:2" x14ac:dyDescent="0.25">
      <c r="A39" t="s">
        <v>79</v>
      </c>
      <c r="B39" s="5" t="s">
        <v>3878</v>
      </c>
    </row>
    <row r="40" spans="1:2" x14ac:dyDescent="0.25">
      <c r="A40" t="s">
        <v>81</v>
      </c>
      <c r="B40" s="5" t="s">
        <v>3922</v>
      </c>
    </row>
    <row r="41" spans="1:2" x14ac:dyDescent="0.25">
      <c r="A41" t="s">
        <v>83</v>
      </c>
      <c r="B41" s="5" t="s">
        <v>3949</v>
      </c>
    </row>
    <row r="42" spans="1:2" x14ac:dyDescent="0.25">
      <c r="A42" t="s">
        <v>85</v>
      </c>
      <c r="B42" s="5" t="s">
        <v>3878</v>
      </c>
    </row>
    <row r="43" spans="1:2" x14ac:dyDescent="0.25">
      <c r="A43" t="s">
        <v>87</v>
      </c>
      <c r="B43" s="5" t="s">
        <v>3878</v>
      </c>
    </row>
    <row r="44" spans="1:2" x14ac:dyDescent="0.25">
      <c r="A44" t="s">
        <v>89</v>
      </c>
      <c r="B44" s="5" t="s">
        <v>3949</v>
      </c>
    </row>
    <row r="45" spans="1:2" x14ac:dyDescent="0.25">
      <c r="A45" t="s">
        <v>91</v>
      </c>
      <c r="B45" s="5" t="s">
        <v>3922</v>
      </c>
    </row>
    <row r="46" spans="1:2" x14ac:dyDescent="0.25">
      <c r="A46" t="s">
        <v>93</v>
      </c>
      <c r="B46" s="5" t="s">
        <v>3949</v>
      </c>
    </row>
    <row r="47" spans="1:2" x14ac:dyDescent="0.25">
      <c r="A47" t="s">
        <v>95</v>
      </c>
      <c r="B47" s="5" t="s">
        <v>3949</v>
      </c>
    </row>
    <row r="48" spans="1:2" x14ac:dyDescent="0.25">
      <c r="A48" t="s">
        <v>97</v>
      </c>
      <c r="B48" s="5" t="s">
        <v>3949</v>
      </c>
    </row>
    <row r="49" spans="1:2" x14ac:dyDescent="0.25">
      <c r="A49" t="s">
        <v>99</v>
      </c>
      <c r="B49" s="5" t="s">
        <v>3894</v>
      </c>
    </row>
    <row r="50" spans="1:2" x14ac:dyDescent="0.25">
      <c r="A50" t="s">
        <v>100</v>
      </c>
      <c r="B50" s="5" t="s">
        <v>3949</v>
      </c>
    </row>
    <row r="51" spans="1:2" x14ac:dyDescent="0.25">
      <c r="A51" t="s">
        <v>102</v>
      </c>
      <c r="B51" s="5" t="s">
        <v>3949</v>
      </c>
    </row>
    <row r="52" spans="1:2" x14ac:dyDescent="0.25">
      <c r="A52" t="s">
        <v>104</v>
      </c>
      <c r="B52" s="5" t="s">
        <v>3878</v>
      </c>
    </row>
    <row r="53" spans="1:2" x14ac:dyDescent="0.25">
      <c r="A53" t="s">
        <v>106</v>
      </c>
      <c r="B53" s="5" t="s">
        <v>3878</v>
      </c>
    </row>
    <row r="54" spans="1:2" x14ac:dyDescent="0.25">
      <c r="A54" t="s">
        <v>108</v>
      </c>
      <c r="B54" s="5" t="s">
        <v>3949</v>
      </c>
    </row>
    <row r="55" spans="1:2" x14ac:dyDescent="0.25">
      <c r="A55" t="s">
        <v>110</v>
      </c>
      <c r="B55" s="5" t="s">
        <v>3974</v>
      </c>
    </row>
    <row r="56" spans="1:2" x14ac:dyDescent="0.25">
      <c r="A56" t="s">
        <v>112</v>
      </c>
      <c r="B56" s="5" t="s">
        <v>3977</v>
      </c>
    </row>
    <row r="57" spans="1:2" x14ac:dyDescent="0.25">
      <c r="A57" t="s">
        <v>114</v>
      </c>
      <c r="B57" s="5" t="s">
        <v>3977</v>
      </c>
    </row>
    <row r="58" spans="1:2" x14ac:dyDescent="0.25">
      <c r="A58" t="s">
        <v>116</v>
      </c>
      <c r="B58" s="5" t="s">
        <v>3977</v>
      </c>
    </row>
    <row r="59" spans="1:2" x14ac:dyDescent="0.25">
      <c r="A59" t="s">
        <v>118</v>
      </c>
      <c r="B59" s="5" t="s">
        <v>3870</v>
      </c>
    </row>
    <row r="60" spans="1:2" x14ac:dyDescent="0.25">
      <c r="A60" t="s">
        <v>120</v>
      </c>
      <c r="B60" s="5" t="s">
        <v>3884</v>
      </c>
    </row>
    <row r="61" spans="1:2" x14ac:dyDescent="0.25">
      <c r="A61" t="s">
        <v>122</v>
      </c>
      <c r="B61" s="5" t="s">
        <v>3894</v>
      </c>
    </row>
    <row r="62" spans="1:2" x14ac:dyDescent="0.25">
      <c r="A62" t="s">
        <v>124</v>
      </c>
      <c r="B62" s="5" t="s">
        <v>3894</v>
      </c>
    </row>
    <row r="63" spans="1:2" x14ac:dyDescent="0.25">
      <c r="A63" t="s">
        <v>126</v>
      </c>
      <c r="B63" s="5" t="s">
        <v>3991</v>
      </c>
    </row>
    <row r="64" spans="1:2" x14ac:dyDescent="0.25">
      <c r="A64" t="s">
        <v>128</v>
      </c>
      <c r="B64" s="5" t="s">
        <v>3991</v>
      </c>
    </row>
    <row r="65" spans="1:2" x14ac:dyDescent="0.25">
      <c r="A65" t="s">
        <v>130</v>
      </c>
      <c r="B65" s="5" t="s">
        <v>3977</v>
      </c>
    </row>
    <row r="66" spans="1:2" x14ac:dyDescent="0.25">
      <c r="A66" t="s">
        <v>132</v>
      </c>
      <c r="B66" s="5" t="s">
        <v>3977</v>
      </c>
    </row>
    <row r="67" spans="1:2" x14ac:dyDescent="0.25">
      <c r="A67" t="s">
        <v>133</v>
      </c>
      <c r="B67" s="5" t="s">
        <v>3977</v>
      </c>
    </row>
    <row r="68" spans="1:2" x14ac:dyDescent="0.25">
      <c r="A68" t="s">
        <v>135</v>
      </c>
      <c r="B68" s="5" t="s">
        <v>3884</v>
      </c>
    </row>
    <row r="69" spans="1:2" x14ac:dyDescent="0.25">
      <c r="A69" t="s">
        <v>137</v>
      </c>
      <c r="B69" s="5" t="s">
        <v>4004</v>
      </c>
    </row>
    <row r="70" spans="1:2" x14ac:dyDescent="0.25">
      <c r="A70" t="s">
        <v>139</v>
      </c>
      <c r="B70" s="5" t="s">
        <v>3878</v>
      </c>
    </row>
    <row r="71" spans="1:2" x14ac:dyDescent="0.25">
      <c r="A71" t="s">
        <v>141</v>
      </c>
      <c r="B71" s="5" t="s">
        <v>4004</v>
      </c>
    </row>
    <row r="72" spans="1:2" x14ac:dyDescent="0.25">
      <c r="A72" t="s">
        <v>143</v>
      </c>
      <c r="B72" s="5" t="s">
        <v>3878</v>
      </c>
    </row>
    <row r="73" spans="1:2" x14ac:dyDescent="0.25">
      <c r="A73" t="s">
        <v>145</v>
      </c>
      <c r="B73" s="5" t="s">
        <v>3870</v>
      </c>
    </row>
    <row r="74" spans="1:2" x14ac:dyDescent="0.25">
      <c r="A74" t="s">
        <v>147</v>
      </c>
      <c r="B74" s="5" t="s">
        <v>3870</v>
      </c>
    </row>
    <row r="75" spans="1:2" x14ac:dyDescent="0.25">
      <c r="A75" t="s">
        <v>149</v>
      </c>
      <c r="B75" s="5" t="s">
        <v>3870</v>
      </c>
    </row>
    <row r="76" spans="1:2" x14ac:dyDescent="0.25">
      <c r="A76" t="s">
        <v>151</v>
      </c>
      <c r="B76" s="5" t="s">
        <v>4020</v>
      </c>
    </row>
    <row r="77" spans="1:2" x14ac:dyDescent="0.25">
      <c r="A77" t="s">
        <v>153</v>
      </c>
      <c r="B77" s="5" t="s">
        <v>4020</v>
      </c>
    </row>
    <row r="78" spans="1:2" x14ac:dyDescent="0.25">
      <c r="A78" t="s">
        <v>155</v>
      </c>
      <c r="B78" s="5" t="s">
        <v>3870</v>
      </c>
    </row>
    <row r="79" spans="1:2" x14ac:dyDescent="0.25">
      <c r="A79" t="s">
        <v>157</v>
      </c>
      <c r="B79" s="5" t="s">
        <v>3870</v>
      </c>
    </row>
    <row r="80" spans="1:2" x14ac:dyDescent="0.25">
      <c r="A80" t="s">
        <v>159</v>
      </c>
      <c r="B80" s="5" t="s">
        <v>3870</v>
      </c>
    </row>
    <row r="81" spans="1:2" x14ac:dyDescent="0.25">
      <c r="A81" t="s">
        <v>161</v>
      </c>
      <c r="B81" s="5" t="s">
        <v>3870</v>
      </c>
    </row>
    <row r="82" spans="1:2" x14ac:dyDescent="0.25">
      <c r="A82" t="s">
        <v>163</v>
      </c>
      <c r="B82" s="5" t="s">
        <v>3870</v>
      </c>
    </row>
    <row r="83" spans="1:2" x14ac:dyDescent="0.25">
      <c r="A83" t="s">
        <v>165</v>
      </c>
      <c r="B83" s="5" t="s">
        <v>4033</v>
      </c>
    </row>
    <row r="84" spans="1:2" x14ac:dyDescent="0.25">
      <c r="A84" t="s">
        <v>167</v>
      </c>
      <c r="B84" s="5" t="s">
        <v>4033</v>
      </c>
    </row>
    <row r="85" spans="1:2" x14ac:dyDescent="0.25">
      <c r="A85" t="s">
        <v>169</v>
      </c>
      <c r="B85" s="5" t="s">
        <v>3878</v>
      </c>
    </row>
    <row r="86" spans="1:2" x14ac:dyDescent="0.25">
      <c r="A86" t="s">
        <v>171</v>
      </c>
      <c r="B86" s="5" t="s">
        <v>3878</v>
      </c>
    </row>
    <row r="87" spans="1:2" x14ac:dyDescent="0.25">
      <c r="A87" t="s">
        <v>173</v>
      </c>
      <c r="B87" s="5" t="s">
        <v>3878</v>
      </c>
    </row>
    <row r="88" spans="1:2" x14ac:dyDescent="0.25">
      <c r="A88" t="s">
        <v>175</v>
      </c>
      <c r="B88" s="5" t="s">
        <v>3949</v>
      </c>
    </row>
    <row r="89" spans="1:2" x14ac:dyDescent="0.25">
      <c r="A89" t="s">
        <v>177</v>
      </c>
      <c r="B89" s="5" t="s">
        <v>4043</v>
      </c>
    </row>
    <row r="90" spans="1:2" x14ac:dyDescent="0.25">
      <c r="A90" t="s">
        <v>179</v>
      </c>
      <c r="B90" s="5" t="s">
        <v>4043</v>
      </c>
    </row>
    <row r="91" spans="1:2" x14ac:dyDescent="0.25">
      <c r="A91" t="s">
        <v>181</v>
      </c>
      <c r="B91" s="5" t="s">
        <v>3878</v>
      </c>
    </row>
    <row r="92" spans="1:2" x14ac:dyDescent="0.25">
      <c r="A92" t="s">
        <v>182</v>
      </c>
      <c r="B92" s="5" t="s">
        <v>3949</v>
      </c>
    </row>
    <row r="93" spans="1:2" x14ac:dyDescent="0.25">
      <c r="A93" t="s">
        <v>184</v>
      </c>
      <c r="B93" s="5" t="s">
        <v>3949</v>
      </c>
    </row>
    <row r="94" spans="1:2" x14ac:dyDescent="0.25">
      <c r="A94" t="s">
        <v>186</v>
      </c>
      <c r="B94" s="5" t="s">
        <v>3878</v>
      </c>
    </row>
    <row r="95" spans="1:2" x14ac:dyDescent="0.25">
      <c r="A95" t="s">
        <v>188</v>
      </c>
      <c r="B95" s="5" t="s">
        <v>3870</v>
      </c>
    </row>
    <row r="96" spans="1:2" x14ac:dyDescent="0.25">
      <c r="A96" t="s">
        <v>190</v>
      </c>
      <c r="B96" s="5" t="s">
        <v>3894</v>
      </c>
    </row>
    <row r="97" spans="1:2" x14ac:dyDescent="0.25">
      <c r="A97" t="s">
        <v>191</v>
      </c>
      <c r="B97" s="5" t="s">
        <v>3894</v>
      </c>
    </row>
    <row r="98" spans="1:2" x14ac:dyDescent="0.25">
      <c r="A98" t="s">
        <v>193</v>
      </c>
      <c r="B98" s="5" t="s">
        <v>3894</v>
      </c>
    </row>
    <row r="99" spans="1:2" x14ac:dyDescent="0.25">
      <c r="A99" t="s">
        <v>195</v>
      </c>
      <c r="B99" s="5" t="s">
        <v>4067</v>
      </c>
    </row>
    <row r="100" spans="1:2" x14ac:dyDescent="0.25">
      <c r="A100" t="s">
        <v>197</v>
      </c>
      <c r="B100" s="5" t="s">
        <v>4004</v>
      </c>
    </row>
    <row r="101" spans="1:2" x14ac:dyDescent="0.25">
      <c r="A101" t="s">
        <v>199</v>
      </c>
      <c r="B101" s="5" t="s">
        <v>4004</v>
      </c>
    </row>
    <row r="102" spans="1:2" x14ac:dyDescent="0.25">
      <c r="A102" t="s">
        <v>201</v>
      </c>
      <c r="B102" s="5" t="s">
        <v>4004</v>
      </c>
    </row>
    <row r="103" spans="1:2" x14ac:dyDescent="0.25">
      <c r="A103" t="s">
        <v>203</v>
      </c>
      <c r="B103" s="5" t="s">
        <v>3878</v>
      </c>
    </row>
    <row r="104" spans="1:2" x14ac:dyDescent="0.25">
      <c r="A104" t="s">
        <v>204</v>
      </c>
      <c r="B104" s="5" t="s">
        <v>3977</v>
      </c>
    </row>
    <row r="105" spans="1:2" x14ac:dyDescent="0.25">
      <c r="A105" t="s">
        <v>206</v>
      </c>
      <c r="B105" s="5" t="s">
        <v>4067</v>
      </c>
    </row>
    <row r="106" spans="1:2" x14ac:dyDescent="0.25">
      <c r="A106" t="s">
        <v>208</v>
      </c>
      <c r="B106" s="5" t="s">
        <v>3878</v>
      </c>
    </row>
    <row r="107" spans="1:2" x14ac:dyDescent="0.25">
      <c r="A107" t="s">
        <v>210</v>
      </c>
      <c r="B107" s="5" t="s">
        <v>3878</v>
      </c>
    </row>
    <row r="108" spans="1:2" x14ac:dyDescent="0.25">
      <c r="A108" t="s">
        <v>212</v>
      </c>
      <c r="B108" s="5" t="s">
        <v>3878</v>
      </c>
    </row>
    <row r="109" spans="1:2" x14ac:dyDescent="0.25">
      <c r="A109" t="s">
        <v>214</v>
      </c>
      <c r="B109" s="5" t="s">
        <v>3878</v>
      </c>
    </row>
    <row r="110" spans="1:2" x14ac:dyDescent="0.25">
      <c r="A110" t="s">
        <v>216</v>
      </c>
      <c r="B110" s="5" t="s">
        <v>4004</v>
      </c>
    </row>
    <row r="111" spans="1:2" x14ac:dyDescent="0.25">
      <c r="A111" t="s">
        <v>218</v>
      </c>
      <c r="B111" s="5" t="s">
        <v>4004</v>
      </c>
    </row>
    <row r="112" spans="1:2" x14ac:dyDescent="0.25">
      <c r="A112" t="s">
        <v>220</v>
      </c>
      <c r="B112" s="5" t="s">
        <v>3894</v>
      </c>
    </row>
    <row r="113" spans="1:2" x14ac:dyDescent="0.25">
      <c r="A113" t="s">
        <v>6850</v>
      </c>
      <c r="B113" s="5" t="s">
        <v>3936</v>
      </c>
    </row>
    <row r="114" spans="1:2" x14ac:dyDescent="0.25">
      <c r="A114" t="s">
        <v>223</v>
      </c>
      <c r="B114" s="5" t="s">
        <v>4094</v>
      </c>
    </row>
    <row r="115" spans="1:2" x14ac:dyDescent="0.25">
      <c r="A115" t="s">
        <v>225</v>
      </c>
      <c r="B115" s="5" t="s">
        <v>3936</v>
      </c>
    </row>
    <row r="116" spans="1:2" x14ac:dyDescent="0.25">
      <c r="A116" t="s">
        <v>227</v>
      </c>
      <c r="B116" s="5" t="s">
        <v>3936</v>
      </c>
    </row>
    <row r="117" spans="1:2" x14ac:dyDescent="0.25">
      <c r="A117" t="s">
        <v>229</v>
      </c>
      <c r="B117" s="5" t="s">
        <v>3974</v>
      </c>
    </row>
    <row r="118" spans="1:2" x14ac:dyDescent="0.25">
      <c r="A118" t="s">
        <v>231</v>
      </c>
      <c r="B118" s="5" t="s">
        <v>3878</v>
      </c>
    </row>
    <row r="119" spans="1:2" x14ac:dyDescent="0.25">
      <c r="A119" t="s">
        <v>233</v>
      </c>
      <c r="B119" s="5" t="s">
        <v>3878</v>
      </c>
    </row>
    <row r="120" spans="1:2" x14ac:dyDescent="0.25">
      <c r="A120" t="s">
        <v>235</v>
      </c>
      <c r="B120" s="5" t="s">
        <v>3878</v>
      </c>
    </row>
    <row r="121" spans="1:2" x14ac:dyDescent="0.25">
      <c r="A121" t="s">
        <v>237</v>
      </c>
      <c r="B121" s="5" t="s">
        <v>3870</v>
      </c>
    </row>
    <row r="122" spans="1:2" x14ac:dyDescent="0.25">
      <c r="A122" t="s">
        <v>239</v>
      </c>
      <c r="B122" s="5" t="s">
        <v>3901</v>
      </c>
    </row>
    <row r="123" spans="1:2" x14ac:dyDescent="0.25">
      <c r="A123" t="s">
        <v>240</v>
      </c>
      <c r="B123" s="5" t="s">
        <v>3901</v>
      </c>
    </row>
    <row r="124" spans="1:2" x14ac:dyDescent="0.25">
      <c r="A124" t="s">
        <v>241</v>
      </c>
      <c r="B124" s="5" t="s">
        <v>3901</v>
      </c>
    </row>
    <row r="125" spans="1:2" x14ac:dyDescent="0.25">
      <c r="A125" t="s">
        <v>242</v>
      </c>
      <c r="B125" s="5" t="s">
        <v>3901</v>
      </c>
    </row>
    <row r="126" spans="1:2" x14ac:dyDescent="0.25">
      <c r="A126" t="s">
        <v>243</v>
      </c>
      <c r="B126" s="5" t="s">
        <v>3901</v>
      </c>
    </row>
    <row r="127" spans="1:2" x14ac:dyDescent="0.25">
      <c r="A127" t="s">
        <v>244</v>
      </c>
      <c r="B127" s="5" t="s">
        <v>3901</v>
      </c>
    </row>
    <row r="128" spans="1:2" x14ac:dyDescent="0.25">
      <c r="A128" t="s">
        <v>245</v>
      </c>
      <c r="B128" s="5" t="s">
        <v>3936</v>
      </c>
    </row>
    <row r="129" spans="1:2" x14ac:dyDescent="0.25">
      <c r="A129" t="s">
        <v>247</v>
      </c>
      <c r="B129" s="5" t="s">
        <v>3878</v>
      </c>
    </row>
    <row r="130" spans="1:2" x14ac:dyDescent="0.25">
      <c r="A130" t="s">
        <v>249</v>
      </c>
      <c r="B130" s="5" t="s">
        <v>3878</v>
      </c>
    </row>
    <row r="131" spans="1:2" x14ac:dyDescent="0.25">
      <c r="A131" t="s">
        <v>251</v>
      </c>
      <c r="B131" s="5" t="s">
        <v>4033</v>
      </c>
    </row>
    <row r="132" spans="1:2" x14ac:dyDescent="0.25">
      <c r="A132" t="s">
        <v>252</v>
      </c>
      <c r="B132" s="5" t="s">
        <v>3894</v>
      </c>
    </row>
    <row r="133" spans="1:2" x14ac:dyDescent="0.25">
      <c r="A133" t="s">
        <v>253</v>
      </c>
      <c r="B133" s="5" t="s">
        <v>3901</v>
      </c>
    </row>
    <row r="134" spans="1:2" x14ac:dyDescent="0.25">
      <c r="A134" t="s">
        <v>255</v>
      </c>
      <c r="B134" s="5" t="s">
        <v>3878</v>
      </c>
    </row>
    <row r="135" spans="1:2" x14ac:dyDescent="0.25">
      <c r="A135" t="s">
        <v>257</v>
      </c>
      <c r="B135" s="5" t="s">
        <v>4043</v>
      </c>
    </row>
    <row r="136" spans="1:2" x14ac:dyDescent="0.25">
      <c r="A136" t="s">
        <v>259</v>
      </c>
      <c r="B136" s="5" t="s">
        <v>4043</v>
      </c>
    </row>
    <row r="137" spans="1:2" x14ac:dyDescent="0.25">
      <c r="A137" t="s">
        <v>261</v>
      </c>
      <c r="B137" s="5" t="s">
        <v>3878</v>
      </c>
    </row>
    <row r="138" spans="1:2" x14ac:dyDescent="0.25">
      <c r="A138" t="s">
        <v>263</v>
      </c>
      <c r="B138" s="5" t="s">
        <v>3870</v>
      </c>
    </row>
    <row r="139" spans="1:2" x14ac:dyDescent="0.25">
      <c r="A139" t="s">
        <v>265</v>
      </c>
      <c r="B139" s="5" t="s">
        <v>3939</v>
      </c>
    </row>
    <row r="140" spans="1:2" x14ac:dyDescent="0.25">
      <c r="A140" t="s">
        <v>267</v>
      </c>
      <c r="B140" s="5" t="s">
        <v>3901</v>
      </c>
    </row>
    <row r="141" spans="1:2" x14ac:dyDescent="0.25">
      <c r="A141" t="s">
        <v>269</v>
      </c>
      <c r="B141" s="5" t="s">
        <v>3949</v>
      </c>
    </row>
    <row r="142" spans="1:2" x14ac:dyDescent="0.25">
      <c r="A142" t="s">
        <v>271</v>
      </c>
      <c r="B142" s="5" t="s">
        <v>3878</v>
      </c>
    </row>
    <row r="143" spans="1:2" x14ac:dyDescent="0.25">
      <c r="A143" t="s">
        <v>272</v>
      </c>
      <c r="B143" s="5" t="s">
        <v>4097</v>
      </c>
    </row>
    <row r="144" spans="1:2" x14ac:dyDescent="0.25">
      <c r="A144" t="s">
        <v>274</v>
      </c>
      <c r="B144" s="5" t="s">
        <v>4097</v>
      </c>
    </row>
    <row r="145" spans="1:2" x14ac:dyDescent="0.25">
      <c r="A145" t="s">
        <v>276</v>
      </c>
      <c r="B145" s="5" t="s">
        <v>4097</v>
      </c>
    </row>
    <row r="146" spans="1:2" x14ac:dyDescent="0.25">
      <c r="A146" t="s">
        <v>278</v>
      </c>
      <c r="B146" s="5" t="s">
        <v>3939</v>
      </c>
    </row>
    <row r="147" spans="1:2" x14ac:dyDescent="0.25">
      <c r="A147" t="s">
        <v>280</v>
      </c>
      <c r="B147" s="5" t="s">
        <v>3949</v>
      </c>
    </row>
    <row r="148" spans="1:2" x14ac:dyDescent="0.25">
      <c r="A148" t="s">
        <v>282</v>
      </c>
      <c r="B148" s="5" t="s">
        <v>3977</v>
      </c>
    </row>
    <row r="149" spans="1:2" x14ac:dyDescent="0.25">
      <c r="A149" t="s">
        <v>284</v>
      </c>
      <c r="B149" s="5" t="s">
        <v>3936</v>
      </c>
    </row>
    <row r="150" spans="1:2" x14ac:dyDescent="0.25">
      <c r="A150" t="s">
        <v>286</v>
      </c>
      <c r="B150" s="5" t="s">
        <v>4020</v>
      </c>
    </row>
    <row r="151" spans="1:2" x14ac:dyDescent="0.25">
      <c r="A151" t="s">
        <v>287</v>
      </c>
      <c r="B151" s="5" t="s">
        <v>3974</v>
      </c>
    </row>
    <row r="152" spans="1:2" x14ac:dyDescent="0.25">
      <c r="A152" t="s">
        <v>289</v>
      </c>
      <c r="B152" s="5" t="s">
        <v>3991</v>
      </c>
    </row>
    <row r="153" spans="1:2" x14ac:dyDescent="0.25">
      <c r="A153" t="s">
        <v>291</v>
      </c>
      <c r="B153" s="5" t="s">
        <v>3949</v>
      </c>
    </row>
    <row r="154" spans="1:2" x14ac:dyDescent="0.25">
      <c r="A154" t="s">
        <v>293</v>
      </c>
      <c r="B154" s="5" t="s">
        <v>3949</v>
      </c>
    </row>
    <row r="155" spans="1:2" x14ac:dyDescent="0.25">
      <c r="A155" t="s">
        <v>295</v>
      </c>
      <c r="B155" s="5" t="s">
        <v>3949</v>
      </c>
    </row>
    <row r="156" spans="1:2" x14ac:dyDescent="0.25">
      <c r="A156" t="s">
        <v>297</v>
      </c>
      <c r="B156" s="5" t="s">
        <v>3949</v>
      </c>
    </row>
    <row r="157" spans="1:2" x14ac:dyDescent="0.25">
      <c r="A157" t="s">
        <v>299</v>
      </c>
      <c r="B157" s="5" t="s">
        <v>4004</v>
      </c>
    </row>
    <row r="158" spans="1:2" x14ac:dyDescent="0.25">
      <c r="A158" t="s">
        <v>301</v>
      </c>
      <c r="B158" s="5" t="s">
        <v>3949</v>
      </c>
    </row>
    <row r="159" spans="1:2" x14ac:dyDescent="0.25">
      <c r="A159" t="s">
        <v>303</v>
      </c>
      <c r="B159" s="5" t="s">
        <v>3949</v>
      </c>
    </row>
    <row r="160" spans="1:2" x14ac:dyDescent="0.25">
      <c r="A160" t="s">
        <v>305</v>
      </c>
      <c r="B160" s="5" t="s">
        <v>3884</v>
      </c>
    </row>
    <row r="161" spans="1:2" x14ac:dyDescent="0.25">
      <c r="A161" t="s">
        <v>307</v>
      </c>
      <c r="B161" s="5" t="s">
        <v>4067</v>
      </c>
    </row>
    <row r="162" spans="1:2" x14ac:dyDescent="0.25">
      <c r="A162" t="s">
        <v>308</v>
      </c>
      <c r="B162" s="5" t="s">
        <v>4067</v>
      </c>
    </row>
    <row r="163" spans="1:2" x14ac:dyDescent="0.25">
      <c r="A163" t="s">
        <v>310</v>
      </c>
      <c r="B163" s="5" t="s">
        <v>3901</v>
      </c>
    </row>
    <row r="164" spans="1:2" x14ac:dyDescent="0.25">
      <c r="A164" t="s">
        <v>312</v>
      </c>
      <c r="B164" s="5" t="s">
        <v>3878</v>
      </c>
    </row>
    <row r="165" spans="1:2" x14ac:dyDescent="0.25">
      <c r="A165" t="s">
        <v>314</v>
      </c>
      <c r="B165" s="5" t="s">
        <v>3878</v>
      </c>
    </row>
    <row r="166" spans="1:2" x14ac:dyDescent="0.25">
      <c r="A166" t="s">
        <v>315</v>
      </c>
      <c r="B166" s="5" t="s">
        <v>3949</v>
      </c>
    </row>
    <row r="167" spans="1:2" x14ac:dyDescent="0.25">
      <c r="A167" t="s">
        <v>317</v>
      </c>
      <c r="B167" s="5" t="s">
        <v>3949</v>
      </c>
    </row>
    <row r="168" spans="1:2" x14ac:dyDescent="0.25">
      <c r="A168" t="s">
        <v>319</v>
      </c>
      <c r="B168" s="5" t="s">
        <v>3870</v>
      </c>
    </row>
    <row r="169" spans="1:2" x14ac:dyDescent="0.25">
      <c r="A169" t="s">
        <v>321</v>
      </c>
      <c r="B169" s="5" t="s">
        <v>3870</v>
      </c>
    </row>
    <row r="170" spans="1:2" x14ac:dyDescent="0.25">
      <c r="A170" t="s">
        <v>323</v>
      </c>
      <c r="B170" s="5" t="s">
        <v>4043</v>
      </c>
    </row>
    <row r="171" spans="1:2" x14ac:dyDescent="0.25">
      <c r="A171" t="s">
        <v>325</v>
      </c>
      <c r="B171" s="5" t="s">
        <v>3870</v>
      </c>
    </row>
    <row r="172" spans="1:2" x14ac:dyDescent="0.25">
      <c r="A172" t="s">
        <v>327</v>
      </c>
      <c r="B172" s="5" t="s">
        <v>3949</v>
      </c>
    </row>
    <row r="173" spans="1:2" x14ac:dyDescent="0.25">
      <c r="A173" t="s">
        <v>329</v>
      </c>
      <c r="B173" s="5" t="s">
        <v>3920</v>
      </c>
    </row>
    <row r="174" spans="1:2" x14ac:dyDescent="0.25">
      <c r="A174" t="s">
        <v>331</v>
      </c>
      <c r="B174" s="5" t="s">
        <v>3920</v>
      </c>
    </row>
    <row r="175" spans="1:2" x14ac:dyDescent="0.25">
      <c r="A175" t="s">
        <v>333</v>
      </c>
      <c r="B175" s="5" t="s">
        <v>3870</v>
      </c>
    </row>
    <row r="176" spans="1:2" x14ac:dyDescent="0.25">
      <c r="A176" t="s">
        <v>335</v>
      </c>
      <c r="B176" s="5" t="s">
        <v>3878</v>
      </c>
    </row>
    <row r="177" spans="1:2" x14ac:dyDescent="0.25">
      <c r="A177" t="s">
        <v>337</v>
      </c>
      <c r="B177" s="5" t="s">
        <v>3878</v>
      </c>
    </row>
    <row r="178" spans="1:2" x14ac:dyDescent="0.25">
      <c r="A178" t="s">
        <v>339</v>
      </c>
      <c r="B178" s="5" t="s">
        <v>3870</v>
      </c>
    </row>
    <row r="179" spans="1:2" x14ac:dyDescent="0.25">
      <c r="A179" t="s">
        <v>341</v>
      </c>
      <c r="B179" s="5" t="s">
        <v>3870</v>
      </c>
    </row>
    <row r="180" spans="1:2" x14ac:dyDescent="0.25">
      <c r="A180" t="s">
        <v>343</v>
      </c>
      <c r="B180" s="5" t="s">
        <v>4067</v>
      </c>
    </row>
    <row r="181" spans="1:2" x14ac:dyDescent="0.25">
      <c r="A181" t="s">
        <v>345</v>
      </c>
      <c r="B181" s="5" t="s">
        <v>4067</v>
      </c>
    </row>
    <row r="182" spans="1:2" x14ac:dyDescent="0.25">
      <c r="A182" t="s">
        <v>347</v>
      </c>
      <c r="B182" s="5" t="s">
        <v>3878</v>
      </c>
    </row>
    <row r="183" spans="1:2" x14ac:dyDescent="0.25">
      <c r="A183" t="s">
        <v>349</v>
      </c>
      <c r="B183" s="5" t="s">
        <v>3878</v>
      </c>
    </row>
    <row r="184" spans="1:2" x14ac:dyDescent="0.25">
      <c r="A184" t="s">
        <v>351</v>
      </c>
      <c r="B184" s="5" t="s">
        <v>3878</v>
      </c>
    </row>
    <row r="185" spans="1:2" x14ac:dyDescent="0.25">
      <c r="A185" t="s">
        <v>352</v>
      </c>
      <c r="B185" s="5" t="s">
        <v>3878</v>
      </c>
    </row>
    <row r="186" spans="1:2" x14ac:dyDescent="0.25">
      <c r="A186" t="s">
        <v>354</v>
      </c>
      <c r="B186" s="5" t="s">
        <v>3977</v>
      </c>
    </row>
    <row r="187" spans="1:2" x14ac:dyDescent="0.25">
      <c r="A187" t="s">
        <v>356</v>
      </c>
      <c r="B187" s="5" t="s">
        <v>3977</v>
      </c>
    </row>
    <row r="188" spans="1:2" x14ac:dyDescent="0.25">
      <c r="A188" t="s">
        <v>358</v>
      </c>
      <c r="B188" s="5" t="s">
        <v>3977</v>
      </c>
    </row>
    <row r="189" spans="1:2" x14ac:dyDescent="0.25">
      <c r="A189" t="s">
        <v>360</v>
      </c>
      <c r="B189" s="5" t="s">
        <v>3870</v>
      </c>
    </row>
    <row r="190" spans="1:2" x14ac:dyDescent="0.25">
      <c r="A190" t="s">
        <v>362</v>
      </c>
      <c r="B190" s="5" t="s">
        <v>3878</v>
      </c>
    </row>
    <row r="191" spans="1:2" x14ac:dyDescent="0.25">
      <c r="A191" t="s">
        <v>364</v>
      </c>
      <c r="B191" s="5" t="s">
        <v>3878</v>
      </c>
    </row>
    <row r="192" spans="1:2" x14ac:dyDescent="0.25">
      <c r="A192" t="s">
        <v>366</v>
      </c>
      <c r="B192" s="5" t="s">
        <v>3991</v>
      </c>
    </row>
    <row r="193" spans="1:2" x14ac:dyDescent="0.25">
      <c r="A193" t="s">
        <v>368</v>
      </c>
      <c r="B193" s="5" t="s">
        <v>4043</v>
      </c>
    </row>
    <row r="194" spans="1:2" x14ac:dyDescent="0.25">
      <c r="A194" t="s">
        <v>370</v>
      </c>
      <c r="B194" s="5" t="s">
        <v>4043</v>
      </c>
    </row>
    <row r="195" spans="1:2" x14ac:dyDescent="0.25">
      <c r="A195" t="s">
        <v>372</v>
      </c>
      <c r="B195" s="5" t="s">
        <v>3870</v>
      </c>
    </row>
    <row r="196" spans="1:2" x14ac:dyDescent="0.25">
      <c r="A196" t="s">
        <v>374</v>
      </c>
      <c r="B196" s="5" t="s">
        <v>3870</v>
      </c>
    </row>
    <row r="197" spans="1:2" x14ac:dyDescent="0.25">
      <c r="A197" t="s">
        <v>376</v>
      </c>
      <c r="B197" s="5" t="s">
        <v>3870</v>
      </c>
    </row>
    <row r="198" spans="1:2" x14ac:dyDescent="0.25">
      <c r="A198" t="s">
        <v>378</v>
      </c>
      <c r="B198" s="5" t="s">
        <v>3894</v>
      </c>
    </row>
    <row r="199" spans="1:2" x14ac:dyDescent="0.25">
      <c r="A199" t="s">
        <v>380</v>
      </c>
      <c r="B199" s="5" t="s">
        <v>3894</v>
      </c>
    </row>
    <row r="200" spans="1:2" x14ac:dyDescent="0.25">
      <c r="A200" t="s">
        <v>382</v>
      </c>
      <c r="B200" s="5" t="s">
        <v>3878</v>
      </c>
    </row>
    <row r="201" spans="1:2" x14ac:dyDescent="0.25">
      <c r="A201" t="s">
        <v>384</v>
      </c>
      <c r="B201" s="5" t="s">
        <v>3878</v>
      </c>
    </row>
    <row r="202" spans="1:2" x14ac:dyDescent="0.25">
      <c r="A202" t="s">
        <v>386</v>
      </c>
      <c r="B202" s="5" t="s">
        <v>3878</v>
      </c>
    </row>
    <row r="203" spans="1:2" x14ac:dyDescent="0.25">
      <c r="A203" t="s">
        <v>388</v>
      </c>
      <c r="B203" s="5" t="s">
        <v>4097</v>
      </c>
    </row>
    <row r="204" spans="1:2" x14ac:dyDescent="0.25">
      <c r="A204" t="s">
        <v>390</v>
      </c>
      <c r="B204" s="5" t="s">
        <v>4097</v>
      </c>
    </row>
    <row r="205" spans="1:2" x14ac:dyDescent="0.25">
      <c r="A205" t="s">
        <v>392</v>
      </c>
      <c r="B205" s="5" t="s">
        <v>3878</v>
      </c>
    </row>
    <row r="206" spans="1:2" x14ac:dyDescent="0.25">
      <c r="A206" t="s">
        <v>394</v>
      </c>
      <c r="B206" s="5" t="s">
        <v>3878</v>
      </c>
    </row>
    <row r="207" spans="1:2" x14ac:dyDescent="0.25">
      <c r="A207" t="s">
        <v>396</v>
      </c>
      <c r="B207" s="5" t="s">
        <v>3870</v>
      </c>
    </row>
    <row r="208" spans="1:2" x14ac:dyDescent="0.25">
      <c r="A208" t="s">
        <v>398</v>
      </c>
      <c r="B208" s="5" t="s">
        <v>3878</v>
      </c>
    </row>
    <row r="209" spans="1:2" x14ac:dyDescent="0.25">
      <c r="A209" t="s">
        <v>400</v>
      </c>
      <c r="B209" s="5" t="s">
        <v>3878</v>
      </c>
    </row>
    <row r="210" spans="1:2" x14ac:dyDescent="0.25">
      <c r="A210" t="s">
        <v>402</v>
      </c>
      <c r="B210" s="5" t="s">
        <v>3870</v>
      </c>
    </row>
    <row r="211" spans="1:2" x14ac:dyDescent="0.25">
      <c r="A211" t="s">
        <v>404</v>
      </c>
      <c r="B211" s="5" t="s">
        <v>3949</v>
      </c>
    </row>
    <row r="212" spans="1:2" x14ac:dyDescent="0.25">
      <c r="A212" t="s">
        <v>406</v>
      </c>
      <c r="B212" s="5" t="s">
        <v>3949</v>
      </c>
    </row>
    <row r="213" spans="1:2" x14ac:dyDescent="0.25">
      <c r="A213" t="s">
        <v>408</v>
      </c>
      <c r="B213" s="5" t="s">
        <v>3949</v>
      </c>
    </row>
    <row r="214" spans="1:2" x14ac:dyDescent="0.25">
      <c r="A214" t="s">
        <v>410</v>
      </c>
      <c r="B214" s="5" t="s">
        <v>3949</v>
      </c>
    </row>
    <row r="215" spans="1:2" x14ac:dyDescent="0.25">
      <c r="A215" t="s">
        <v>412</v>
      </c>
      <c r="B215" s="5" t="s">
        <v>3878</v>
      </c>
    </row>
    <row r="216" spans="1:2" x14ac:dyDescent="0.25">
      <c r="A216" t="s">
        <v>414</v>
      </c>
      <c r="B216" s="5" t="s">
        <v>3878</v>
      </c>
    </row>
    <row r="217" spans="1:2" x14ac:dyDescent="0.25">
      <c r="A217" t="s">
        <v>415</v>
      </c>
      <c r="B217" s="5" t="s">
        <v>3878</v>
      </c>
    </row>
    <row r="218" spans="1:2" x14ac:dyDescent="0.25">
      <c r="A218" t="s">
        <v>417</v>
      </c>
      <c r="B218" s="5" t="s">
        <v>3878</v>
      </c>
    </row>
    <row r="219" spans="1:2" x14ac:dyDescent="0.25">
      <c r="A219" t="s">
        <v>419</v>
      </c>
      <c r="B219" s="5" t="s">
        <v>3884</v>
      </c>
    </row>
    <row r="220" spans="1:2" x14ac:dyDescent="0.25">
      <c r="A220" t="s">
        <v>421</v>
      </c>
      <c r="B220" s="5" t="s">
        <v>4284</v>
      </c>
    </row>
    <row r="221" spans="1:2" x14ac:dyDescent="0.25">
      <c r="A221" t="s">
        <v>423</v>
      </c>
      <c r="B221" s="5" t="s">
        <v>4284</v>
      </c>
    </row>
    <row r="222" spans="1:2" x14ac:dyDescent="0.25">
      <c r="A222" t="s">
        <v>425</v>
      </c>
      <c r="B222" s="5" t="s">
        <v>3884</v>
      </c>
    </row>
    <row r="223" spans="1:2" x14ac:dyDescent="0.25">
      <c r="A223" t="s">
        <v>427</v>
      </c>
      <c r="B223" s="5" t="s">
        <v>3884</v>
      </c>
    </row>
    <row r="224" spans="1:2" x14ac:dyDescent="0.25">
      <c r="A224" t="s">
        <v>429</v>
      </c>
      <c r="B224" s="5" t="s">
        <v>3884</v>
      </c>
    </row>
    <row r="225" spans="1:2" x14ac:dyDescent="0.25">
      <c r="A225" t="s">
        <v>431</v>
      </c>
      <c r="B225" s="5" t="s">
        <v>3884</v>
      </c>
    </row>
    <row r="226" spans="1:2" x14ac:dyDescent="0.25">
      <c r="A226" t="s">
        <v>433</v>
      </c>
      <c r="B226" s="5" t="s">
        <v>4291</v>
      </c>
    </row>
    <row r="227" spans="1:2" x14ac:dyDescent="0.25">
      <c r="A227" t="s">
        <v>435</v>
      </c>
      <c r="B227" s="5" t="s">
        <v>3878</v>
      </c>
    </row>
    <row r="228" spans="1:2" x14ac:dyDescent="0.25">
      <c r="A228" t="s">
        <v>437</v>
      </c>
      <c r="B228" s="5" t="s">
        <v>3884</v>
      </c>
    </row>
    <row r="229" spans="1:2" x14ac:dyDescent="0.25">
      <c r="A229" t="s">
        <v>439</v>
      </c>
      <c r="B229" s="5" t="s">
        <v>4291</v>
      </c>
    </row>
    <row r="230" spans="1:2" x14ac:dyDescent="0.25">
      <c r="A230" t="s">
        <v>441</v>
      </c>
      <c r="B230" s="5" t="s">
        <v>3901</v>
      </c>
    </row>
    <row r="231" spans="1:2" x14ac:dyDescent="0.25">
      <c r="A231" t="s">
        <v>443</v>
      </c>
      <c r="B231" s="5" t="s">
        <v>3901</v>
      </c>
    </row>
    <row r="232" spans="1:2" x14ac:dyDescent="0.25">
      <c r="A232" t="s">
        <v>445</v>
      </c>
      <c r="B232" s="5" t="s">
        <v>3901</v>
      </c>
    </row>
    <row r="233" spans="1:2" x14ac:dyDescent="0.25">
      <c r="A233" t="s">
        <v>447</v>
      </c>
      <c r="B233" s="5" t="s">
        <v>3870</v>
      </c>
    </row>
    <row r="234" spans="1:2" x14ac:dyDescent="0.25">
      <c r="A234" t="s">
        <v>449</v>
      </c>
      <c r="B234" s="5" t="s">
        <v>4291</v>
      </c>
    </row>
    <row r="235" spans="1:2" x14ac:dyDescent="0.25">
      <c r="A235" t="s">
        <v>451</v>
      </c>
      <c r="B235" s="5" t="s">
        <v>4291</v>
      </c>
    </row>
    <row r="236" spans="1:2" x14ac:dyDescent="0.25">
      <c r="A236" t="s">
        <v>453</v>
      </c>
      <c r="B236" s="5" t="s">
        <v>3870</v>
      </c>
    </row>
    <row r="237" spans="1:2" x14ac:dyDescent="0.25">
      <c r="A237" t="s">
        <v>455</v>
      </c>
      <c r="B237" s="5" t="s">
        <v>3870</v>
      </c>
    </row>
    <row r="238" spans="1:2" x14ac:dyDescent="0.25">
      <c r="A238" t="s">
        <v>457</v>
      </c>
      <c r="B238" s="5" t="s">
        <v>3870</v>
      </c>
    </row>
    <row r="239" spans="1:2" x14ac:dyDescent="0.25">
      <c r="A239" t="s">
        <v>459</v>
      </c>
      <c r="B239" s="5" t="s">
        <v>3878</v>
      </c>
    </row>
    <row r="240" spans="1:2" x14ac:dyDescent="0.25">
      <c r="A240" t="s">
        <v>461</v>
      </c>
      <c r="B240" s="5" t="s">
        <v>3870</v>
      </c>
    </row>
    <row r="241" spans="1:2" x14ac:dyDescent="0.25">
      <c r="A241" t="s">
        <v>463</v>
      </c>
      <c r="B241" s="5" t="s">
        <v>3922</v>
      </c>
    </row>
    <row r="242" spans="1:2" x14ac:dyDescent="0.25">
      <c r="A242" t="s">
        <v>464</v>
      </c>
      <c r="B242" s="5" t="s">
        <v>3878</v>
      </c>
    </row>
    <row r="243" spans="1:2" x14ac:dyDescent="0.25">
      <c r="A243" t="s">
        <v>466</v>
      </c>
      <c r="B243" s="5" t="s">
        <v>3939</v>
      </c>
    </row>
    <row r="244" spans="1:2" x14ac:dyDescent="0.25">
      <c r="A244" t="s">
        <v>468</v>
      </c>
      <c r="B244" s="5" t="s">
        <v>3939</v>
      </c>
    </row>
    <row r="245" spans="1:2" x14ac:dyDescent="0.25">
      <c r="A245" t="s">
        <v>470</v>
      </c>
      <c r="B245" s="5" t="s">
        <v>3870</v>
      </c>
    </row>
    <row r="246" spans="1:2" x14ac:dyDescent="0.25">
      <c r="A246" t="s">
        <v>472</v>
      </c>
      <c r="B246" s="5" t="s">
        <v>4330</v>
      </c>
    </row>
    <row r="247" spans="1:2" x14ac:dyDescent="0.25">
      <c r="A247" t="s">
        <v>474</v>
      </c>
      <c r="B247" s="5" t="s">
        <v>3939</v>
      </c>
    </row>
    <row r="248" spans="1:2" x14ac:dyDescent="0.25">
      <c r="A248" t="s">
        <v>476</v>
      </c>
      <c r="B248" s="5" t="s">
        <v>3884</v>
      </c>
    </row>
    <row r="249" spans="1:2" x14ac:dyDescent="0.25">
      <c r="A249" t="s">
        <v>478</v>
      </c>
      <c r="B249" s="5" t="s">
        <v>4291</v>
      </c>
    </row>
    <row r="250" spans="1:2" x14ac:dyDescent="0.25">
      <c r="A250" t="s">
        <v>480</v>
      </c>
      <c r="B250" s="5" t="s">
        <v>3884</v>
      </c>
    </row>
    <row r="251" spans="1:2" x14ac:dyDescent="0.25">
      <c r="A251" t="s">
        <v>482</v>
      </c>
      <c r="B251" s="5" t="s">
        <v>3878</v>
      </c>
    </row>
    <row r="252" spans="1:2" x14ac:dyDescent="0.25">
      <c r="A252" t="s">
        <v>484</v>
      </c>
      <c r="B252" s="5" t="s">
        <v>3870</v>
      </c>
    </row>
    <row r="253" spans="1:2" x14ac:dyDescent="0.25">
      <c r="A253" t="s">
        <v>486</v>
      </c>
      <c r="B253" s="5" t="s">
        <v>4097</v>
      </c>
    </row>
    <row r="254" spans="1:2" x14ac:dyDescent="0.25">
      <c r="A254" t="s">
        <v>488</v>
      </c>
      <c r="B254" s="5" t="s">
        <v>4097</v>
      </c>
    </row>
    <row r="255" spans="1:2" x14ac:dyDescent="0.25">
      <c r="A255" t="s">
        <v>490</v>
      </c>
      <c r="B255" s="5" t="s">
        <v>4097</v>
      </c>
    </row>
    <row r="256" spans="1:2" x14ac:dyDescent="0.25">
      <c r="A256" t="s">
        <v>492</v>
      </c>
      <c r="B256" s="5" t="s">
        <v>3894</v>
      </c>
    </row>
    <row r="257" spans="1:2" x14ac:dyDescent="0.25">
      <c r="A257" t="s">
        <v>494</v>
      </c>
      <c r="B257" s="5" t="s">
        <v>3894</v>
      </c>
    </row>
    <row r="258" spans="1:2" x14ac:dyDescent="0.25">
      <c r="A258" t="s">
        <v>496</v>
      </c>
      <c r="B258" s="5" t="s">
        <v>3870</v>
      </c>
    </row>
    <row r="259" spans="1:2" x14ac:dyDescent="0.25">
      <c r="A259" t="s">
        <v>498</v>
      </c>
      <c r="B259" s="5" t="s">
        <v>4284</v>
      </c>
    </row>
    <row r="260" spans="1:2" x14ac:dyDescent="0.25">
      <c r="A260" t="s">
        <v>500</v>
      </c>
      <c r="B260" s="5" t="s">
        <v>3870</v>
      </c>
    </row>
    <row r="261" spans="1:2" x14ac:dyDescent="0.25">
      <c r="A261" t="s">
        <v>502</v>
      </c>
      <c r="B261" s="5" t="s">
        <v>3870</v>
      </c>
    </row>
    <row r="262" spans="1:2" x14ac:dyDescent="0.25">
      <c r="A262" t="s">
        <v>504</v>
      </c>
      <c r="B262" s="5" t="s">
        <v>3870</v>
      </c>
    </row>
    <row r="263" spans="1:2" x14ac:dyDescent="0.25">
      <c r="A263" t="s">
        <v>506</v>
      </c>
      <c r="B263" s="5" t="s">
        <v>3870</v>
      </c>
    </row>
    <row r="264" spans="1:2" x14ac:dyDescent="0.25">
      <c r="A264" t="s">
        <v>508</v>
      </c>
      <c r="B264" s="5" t="s">
        <v>3870</v>
      </c>
    </row>
    <row r="265" spans="1:2" x14ac:dyDescent="0.25">
      <c r="A265" t="s">
        <v>510</v>
      </c>
      <c r="B265" s="5" t="s">
        <v>4291</v>
      </c>
    </row>
    <row r="266" spans="1:2" x14ac:dyDescent="0.25">
      <c r="A266" t="s">
        <v>512</v>
      </c>
      <c r="B266" s="5" t="s">
        <v>3977</v>
      </c>
    </row>
    <row r="267" spans="1:2" x14ac:dyDescent="0.25">
      <c r="A267" t="s">
        <v>514</v>
      </c>
      <c r="B267" s="5" t="s">
        <v>3977</v>
      </c>
    </row>
    <row r="268" spans="1:2" x14ac:dyDescent="0.25">
      <c r="A268" t="s">
        <v>516</v>
      </c>
      <c r="B268" s="5" t="s">
        <v>4330</v>
      </c>
    </row>
    <row r="269" spans="1:2" x14ac:dyDescent="0.25">
      <c r="A269" t="s">
        <v>518</v>
      </c>
      <c r="B269" s="5" t="s">
        <v>3884</v>
      </c>
    </row>
    <row r="270" spans="1:2" x14ac:dyDescent="0.25">
      <c r="A270" t="s">
        <v>520</v>
      </c>
      <c r="B270" s="5" t="s">
        <v>3884</v>
      </c>
    </row>
    <row r="271" spans="1:2" x14ac:dyDescent="0.25">
      <c r="A271" t="s">
        <v>522</v>
      </c>
      <c r="B271" s="5" t="s">
        <v>4392</v>
      </c>
    </row>
    <row r="272" spans="1:2" x14ac:dyDescent="0.25">
      <c r="A272" t="s">
        <v>524</v>
      </c>
      <c r="B272" s="5" t="s">
        <v>3949</v>
      </c>
    </row>
    <row r="273" spans="1:2" x14ac:dyDescent="0.25">
      <c r="A273" t="s">
        <v>526</v>
      </c>
      <c r="B273" s="5" t="s">
        <v>4291</v>
      </c>
    </row>
    <row r="274" spans="1:2" x14ac:dyDescent="0.25">
      <c r="A274" t="s">
        <v>527</v>
      </c>
      <c r="B274" s="5" t="s">
        <v>3870</v>
      </c>
    </row>
    <row r="275" spans="1:2" x14ac:dyDescent="0.25">
      <c r="A275" t="s">
        <v>529</v>
      </c>
      <c r="B275" s="5" t="s">
        <v>3870</v>
      </c>
    </row>
    <row r="276" spans="1:2" x14ac:dyDescent="0.25">
      <c r="A276" t="s">
        <v>531</v>
      </c>
      <c r="B276" s="5" t="s">
        <v>4291</v>
      </c>
    </row>
    <row r="277" spans="1:2" x14ac:dyDescent="0.25">
      <c r="A277" t="s">
        <v>532</v>
      </c>
      <c r="B277" s="5" t="s">
        <v>4291</v>
      </c>
    </row>
    <row r="278" spans="1:2" x14ac:dyDescent="0.25">
      <c r="A278" t="s">
        <v>534</v>
      </c>
      <c r="B278" s="5" t="s">
        <v>4413</v>
      </c>
    </row>
    <row r="279" spans="1:2" x14ac:dyDescent="0.25">
      <c r="A279" t="s">
        <v>536</v>
      </c>
      <c r="B279" s="5" t="s">
        <v>3870</v>
      </c>
    </row>
    <row r="280" spans="1:2" x14ac:dyDescent="0.25">
      <c r="A280" t="s">
        <v>538</v>
      </c>
      <c r="B280" s="5" t="s">
        <v>3894</v>
      </c>
    </row>
    <row r="281" spans="1:2" x14ac:dyDescent="0.25">
      <c r="A281" t="s">
        <v>540</v>
      </c>
      <c r="B281" s="5" t="s">
        <v>3878</v>
      </c>
    </row>
    <row r="282" spans="1:2" x14ac:dyDescent="0.25">
      <c r="A282" t="s">
        <v>542</v>
      </c>
      <c r="B282" s="5" t="s">
        <v>4413</v>
      </c>
    </row>
    <row r="283" spans="1:2" x14ac:dyDescent="0.25">
      <c r="A283" t="s">
        <v>543</v>
      </c>
      <c r="B283" s="5" t="s">
        <v>4413</v>
      </c>
    </row>
    <row r="284" spans="1:2" x14ac:dyDescent="0.25">
      <c r="A284" t="s">
        <v>545</v>
      </c>
      <c r="B284" s="5" t="s">
        <v>4413</v>
      </c>
    </row>
    <row r="285" spans="1:2" x14ac:dyDescent="0.25">
      <c r="A285" t="s">
        <v>547</v>
      </c>
      <c r="B285" s="5" t="s">
        <v>3977</v>
      </c>
    </row>
    <row r="286" spans="1:2" x14ac:dyDescent="0.25">
      <c r="A286" t="s">
        <v>549</v>
      </c>
      <c r="B286" s="5" t="s">
        <v>3884</v>
      </c>
    </row>
    <row r="287" spans="1:2" x14ac:dyDescent="0.25">
      <c r="A287" t="s">
        <v>551</v>
      </c>
      <c r="B287" s="5" t="s">
        <v>4413</v>
      </c>
    </row>
    <row r="288" spans="1:2" x14ac:dyDescent="0.25">
      <c r="A288" t="s">
        <v>553</v>
      </c>
      <c r="B288" s="5" t="s">
        <v>3878</v>
      </c>
    </row>
    <row r="289" spans="1:2" x14ac:dyDescent="0.25">
      <c r="A289" t="s">
        <v>555</v>
      </c>
      <c r="B289" s="5" t="s">
        <v>3878</v>
      </c>
    </row>
    <row r="290" spans="1:2" x14ac:dyDescent="0.25">
      <c r="A290" t="s">
        <v>557</v>
      </c>
      <c r="B290" s="5" t="s">
        <v>4440</v>
      </c>
    </row>
    <row r="291" spans="1:2" x14ac:dyDescent="0.25">
      <c r="A291" t="s">
        <v>558</v>
      </c>
      <c r="B291" s="5" t="s">
        <v>4392</v>
      </c>
    </row>
    <row r="292" spans="1:2" x14ac:dyDescent="0.25">
      <c r="A292" t="s">
        <v>560</v>
      </c>
      <c r="B292" s="5" t="s">
        <v>3870</v>
      </c>
    </row>
    <row r="293" spans="1:2" x14ac:dyDescent="0.25">
      <c r="A293" t="s">
        <v>562</v>
      </c>
      <c r="B293" s="5" t="s">
        <v>4440</v>
      </c>
    </row>
    <row r="294" spans="1:2" x14ac:dyDescent="0.25">
      <c r="A294" t="s">
        <v>564</v>
      </c>
      <c r="B294" s="5" t="s">
        <v>4330</v>
      </c>
    </row>
    <row r="295" spans="1:2" x14ac:dyDescent="0.25">
      <c r="A295" t="s">
        <v>565</v>
      </c>
      <c r="B295" s="5" t="s">
        <v>4440</v>
      </c>
    </row>
    <row r="296" spans="1:2" x14ac:dyDescent="0.25">
      <c r="A296" t="s">
        <v>567</v>
      </c>
      <c r="B296" s="5" t="s">
        <v>4440</v>
      </c>
    </row>
    <row r="297" spans="1:2" x14ac:dyDescent="0.25">
      <c r="A297" t="s">
        <v>569</v>
      </c>
      <c r="B297" s="5" t="s">
        <v>3870</v>
      </c>
    </row>
    <row r="298" spans="1:2" x14ac:dyDescent="0.25">
      <c r="A298" t="s">
        <v>571</v>
      </c>
      <c r="B298" s="5" t="s">
        <v>3870</v>
      </c>
    </row>
    <row r="299" spans="1:2" x14ac:dyDescent="0.25">
      <c r="A299" t="s">
        <v>573</v>
      </c>
      <c r="B299" s="5" t="s">
        <v>3870</v>
      </c>
    </row>
    <row r="300" spans="1:2" x14ac:dyDescent="0.25">
      <c r="A300" t="s">
        <v>575</v>
      </c>
      <c r="B300" s="5" t="s">
        <v>3870</v>
      </c>
    </row>
    <row r="301" spans="1:2" x14ac:dyDescent="0.25">
      <c r="A301" t="s">
        <v>577</v>
      </c>
      <c r="B301" s="5" t="s">
        <v>4462</v>
      </c>
    </row>
    <row r="302" spans="1:2" x14ac:dyDescent="0.25">
      <c r="A302" t="s">
        <v>579</v>
      </c>
      <c r="B302" s="5" t="s">
        <v>3884</v>
      </c>
    </row>
    <row r="303" spans="1:2" x14ac:dyDescent="0.25">
      <c r="A303" t="s">
        <v>581</v>
      </c>
      <c r="B303" s="5" t="s">
        <v>3884</v>
      </c>
    </row>
    <row r="304" spans="1:2" x14ac:dyDescent="0.25">
      <c r="A304" t="s">
        <v>583</v>
      </c>
      <c r="B304" s="5" t="s">
        <v>3884</v>
      </c>
    </row>
    <row r="305" spans="1:2" x14ac:dyDescent="0.25">
      <c r="A305" t="s">
        <v>585</v>
      </c>
      <c r="B305" s="5" t="s">
        <v>3884</v>
      </c>
    </row>
    <row r="306" spans="1:2" x14ac:dyDescent="0.25">
      <c r="A306" t="s">
        <v>587</v>
      </c>
      <c r="B306" s="5" t="s">
        <v>3977</v>
      </c>
    </row>
    <row r="307" spans="1:2" x14ac:dyDescent="0.25">
      <c r="A307" t="s">
        <v>589</v>
      </c>
      <c r="B307" s="5" t="s">
        <v>3977</v>
      </c>
    </row>
    <row r="308" spans="1:2" x14ac:dyDescent="0.25">
      <c r="A308" t="s">
        <v>591</v>
      </c>
      <c r="B308" s="5" t="s">
        <v>4284</v>
      </c>
    </row>
    <row r="309" spans="1:2" x14ac:dyDescent="0.25">
      <c r="A309" t="s">
        <v>592</v>
      </c>
      <c r="B309" s="5" t="s">
        <v>3870</v>
      </c>
    </row>
    <row r="310" spans="1:2" x14ac:dyDescent="0.25">
      <c r="A310" t="s">
        <v>594</v>
      </c>
      <c r="B310" s="5" t="s">
        <v>3884</v>
      </c>
    </row>
    <row r="311" spans="1:2" x14ac:dyDescent="0.25">
      <c r="A311" t="s">
        <v>596</v>
      </c>
      <c r="B311" s="5" t="s">
        <v>3949</v>
      </c>
    </row>
    <row r="312" spans="1:2" x14ac:dyDescent="0.25">
      <c r="A312" t="s">
        <v>598</v>
      </c>
      <c r="B312" s="5" t="s">
        <v>3884</v>
      </c>
    </row>
    <row r="313" spans="1:2" x14ac:dyDescent="0.25">
      <c r="A313" t="s">
        <v>600</v>
      </c>
      <c r="B313" s="5" t="s">
        <v>3884</v>
      </c>
    </row>
    <row r="314" spans="1:2" x14ac:dyDescent="0.25">
      <c r="A314" t="s">
        <v>602</v>
      </c>
      <c r="B314" s="5" t="s">
        <v>3884</v>
      </c>
    </row>
    <row r="315" spans="1:2" x14ac:dyDescent="0.25">
      <c r="A315" t="s">
        <v>604</v>
      </c>
      <c r="B315" s="5" t="s">
        <v>3884</v>
      </c>
    </row>
    <row r="316" spans="1:2" x14ac:dyDescent="0.25">
      <c r="A316" t="s">
        <v>606</v>
      </c>
      <c r="B316" s="5" t="s">
        <v>3884</v>
      </c>
    </row>
    <row r="317" spans="1:2" x14ac:dyDescent="0.25">
      <c r="A317" t="s">
        <v>608</v>
      </c>
      <c r="B317" s="5" t="s">
        <v>3878</v>
      </c>
    </row>
    <row r="318" spans="1:2" x14ac:dyDescent="0.25">
      <c r="A318" t="s">
        <v>610</v>
      </c>
      <c r="B318" s="5" t="s">
        <v>3949</v>
      </c>
    </row>
    <row r="319" spans="1:2" x14ac:dyDescent="0.25">
      <c r="A319" t="s">
        <v>612</v>
      </c>
      <c r="B319" s="5" t="s">
        <v>3894</v>
      </c>
    </row>
    <row r="320" spans="1:2" x14ac:dyDescent="0.25">
      <c r="A320" t="s">
        <v>614</v>
      </c>
      <c r="B320" s="5" t="s">
        <v>3894</v>
      </c>
    </row>
    <row r="321" spans="1:2" x14ac:dyDescent="0.25">
      <c r="A321" t="s">
        <v>616</v>
      </c>
      <c r="B321" s="5" t="s">
        <v>3878</v>
      </c>
    </row>
    <row r="322" spans="1:2" x14ac:dyDescent="0.25">
      <c r="A322" t="s">
        <v>618</v>
      </c>
      <c r="B322" s="5" t="s">
        <v>3878</v>
      </c>
    </row>
    <row r="323" spans="1:2" x14ac:dyDescent="0.25">
      <c r="A323" t="s">
        <v>620</v>
      </c>
      <c r="B323" s="5" t="s">
        <v>3878</v>
      </c>
    </row>
    <row r="324" spans="1:2" x14ac:dyDescent="0.25">
      <c r="A324" t="s">
        <v>622</v>
      </c>
      <c r="B324" s="5" t="s">
        <v>3878</v>
      </c>
    </row>
    <row r="325" spans="1:2" x14ac:dyDescent="0.25">
      <c r="A325" t="s">
        <v>624</v>
      </c>
      <c r="B325" s="5" t="s">
        <v>3949</v>
      </c>
    </row>
    <row r="326" spans="1:2" x14ac:dyDescent="0.25">
      <c r="A326" t="s">
        <v>626</v>
      </c>
      <c r="B326" s="5" t="s">
        <v>3949</v>
      </c>
    </row>
    <row r="327" spans="1:2" x14ac:dyDescent="0.25">
      <c r="A327" t="s">
        <v>628</v>
      </c>
      <c r="B327" s="5" t="s">
        <v>3870</v>
      </c>
    </row>
    <row r="328" spans="1:2" x14ac:dyDescent="0.25">
      <c r="A328" t="s">
        <v>630</v>
      </c>
      <c r="B328" s="5" t="s">
        <v>3870</v>
      </c>
    </row>
    <row r="329" spans="1:2" x14ac:dyDescent="0.25">
      <c r="A329" t="s">
        <v>632</v>
      </c>
      <c r="B329" s="5" t="s">
        <v>3878</v>
      </c>
    </row>
    <row r="330" spans="1:2" x14ac:dyDescent="0.25">
      <c r="A330" t="s">
        <v>634</v>
      </c>
      <c r="B330" s="5" t="s">
        <v>3878</v>
      </c>
    </row>
    <row r="331" spans="1:2" x14ac:dyDescent="0.25">
      <c r="A331" t="s">
        <v>636</v>
      </c>
      <c r="B331" s="5" t="s">
        <v>3878</v>
      </c>
    </row>
    <row r="332" spans="1:2" x14ac:dyDescent="0.25">
      <c r="A332" t="s">
        <v>638</v>
      </c>
      <c r="B332" s="5" t="s">
        <v>4291</v>
      </c>
    </row>
    <row r="333" spans="1:2" x14ac:dyDescent="0.25">
      <c r="A333" t="s">
        <v>640</v>
      </c>
      <c r="B333" s="5" t="s">
        <v>4094</v>
      </c>
    </row>
    <row r="334" spans="1:2" x14ac:dyDescent="0.25">
      <c r="A334" t="s">
        <v>642</v>
      </c>
      <c r="B334" s="5" t="s">
        <v>4094</v>
      </c>
    </row>
    <row r="335" spans="1:2" x14ac:dyDescent="0.25">
      <c r="A335" t="s">
        <v>644</v>
      </c>
      <c r="B335" s="5" t="s">
        <v>3870</v>
      </c>
    </row>
    <row r="336" spans="1:2" x14ac:dyDescent="0.25">
      <c r="A336" t="s">
        <v>646</v>
      </c>
      <c r="B336" s="5" t="s">
        <v>3870</v>
      </c>
    </row>
    <row r="337" spans="1:2" x14ac:dyDescent="0.25">
      <c r="A337" t="s">
        <v>648</v>
      </c>
      <c r="B337" s="5" t="s">
        <v>3878</v>
      </c>
    </row>
    <row r="338" spans="1:2" x14ac:dyDescent="0.25">
      <c r="A338" t="s">
        <v>650</v>
      </c>
      <c r="B338" s="5" t="s">
        <v>3878</v>
      </c>
    </row>
    <row r="339" spans="1:2" x14ac:dyDescent="0.25">
      <c r="A339" t="s">
        <v>652</v>
      </c>
      <c r="B339" s="5" t="s">
        <v>3870</v>
      </c>
    </row>
    <row r="340" spans="1:2" x14ac:dyDescent="0.25">
      <c r="A340" t="s">
        <v>654</v>
      </c>
      <c r="B340" s="5" t="s">
        <v>3878</v>
      </c>
    </row>
    <row r="341" spans="1:2" x14ac:dyDescent="0.25">
      <c r="A341" t="s">
        <v>656</v>
      </c>
      <c r="B341" s="5" t="s">
        <v>3870</v>
      </c>
    </row>
    <row r="342" spans="1:2" x14ac:dyDescent="0.25">
      <c r="A342" t="s">
        <v>658</v>
      </c>
      <c r="B342" s="5" t="s">
        <v>3870</v>
      </c>
    </row>
    <row r="343" spans="1:2" x14ac:dyDescent="0.25">
      <c r="A343" t="s">
        <v>660</v>
      </c>
      <c r="B343" s="5" t="s">
        <v>3870</v>
      </c>
    </row>
    <row r="344" spans="1:2" x14ac:dyDescent="0.25">
      <c r="A344" t="s">
        <v>662</v>
      </c>
      <c r="B344" s="5" t="s">
        <v>3870</v>
      </c>
    </row>
    <row r="345" spans="1:2" x14ac:dyDescent="0.25">
      <c r="A345" t="s">
        <v>664</v>
      </c>
      <c r="B345" s="5" t="s">
        <v>4067</v>
      </c>
    </row>
    <row r="346" spans="1:2" x14ac:dyDescent="0.25">
      <c r="A346" t="s">
        <v>666</v>
      </c>
      <c r="B346" s="5" t="s">
        <v>4067</v>
      </c>
    </row>
    <row r="347" spans="1:2" x14ac:dyDescent="0.25">
      <c r="A347" t="s">
        <v>668</v>
      </c>
      <c r="B347" s="5" t="s">
        <v>3991</v>
      </c>
    </row>
    <row r="348" spans="1:2" x14ac:dyDescent="0.25">
      <c r="A348" t="s">
        <v>670</v>
      </c>
      <c r="B348" s="5" t="s">
        <v>4094</v>
      </c>
    </row>
    <row r="349" spans="1:2" x14ac:dyDescent="0.25">
      <c r="A349" t="s">
        <v>672</v>
      </c>
      <c r="B349" s="5" t="s">
        <v>3949</v>
      </c>
    </row>
    <row r="350" spans="1:2" x14ac:dyDescent="0.25">
      <c r="A350" t="s">
        <v>674</v>
      </c>
      <c r="B350" s="5" t="s">
        <v>3878</v>
      </c>
    </row>
    <row r="351" spans="1:2" x14ac:dyDescent="0.25">
      <c r="A351" t="s">
        <v>676</v>
      </c>
      <c r="B351" s="5" t="s">
        <v>3939</v>
      </c>
    </row>
    <row r="352" spans="1:2" x14ac:dyDescent="0.25">
      <c r="A352" t="s">
        <v>677</v>
      </c>
      <c r="B352" s="5" t="s">
        <v>3878</v>
      </c>
    </row>
    <row r="353" spans="1:2" x14ac:dyDescent="0.25">
      <c r="A353" t="s">
        <v>679</v>
      </c>
      <c r="B353" s="5" t="s">
        <v>3878</v>
      </c>
    </row>
    <row r="354" spans="1:2" x14ac:dyDescent="0.25">
      <c r="A354" t="s">
        <v>681</v>
      </c>
      <c r="B354" s="5" t="s">
        <v>4562</v>
      </c>
    </row>
    <row r="355" spans="1:2" x14ac:dyDescent="0.25">
      <c r="A355" t="s">
        <v>683</v>
      </c>
      <c r="B355" s="5" t="s">
        <v>3870</v>
      </c>
    </row>
    <row r="356" spans="1:2" x14ac:dyDescent="0.25">
      <c r="A356" t="s">
        <v>685</v>
      </c>
      <c r="B356" s="5" t="s">
        <v>3870</v>
      </c>
    </row>
    <row r="357" spans="1:2" x14ac:dyDescent="0.25">
      <c r="A357" t="s">
        <v>687</v>
      </c>
      <c r="B357" s="5" t="s">
        <v>4094</v>
      </c>
    </row>
    <row r="358" spans="1:2" x14ac:dyDescent="0.25">
      <c r="A358" t="s">
        <v>689</v>
      </c>
      <c r="B358" s="5" t="s">
        <v>4094</v>
      </c>
    </row>
    <row r="359" spans="1:2" x14ac:dyDescent="0.25">
      <c r="A359" t="s">
        <v>691</v>
      </c>
      <c r="B359" s="5" t="s">
        <v>4043</v>
      </c>
    </row>
    <row r="360" spans="1:2" x14ac:dyDescent="0.25">
      <c r="A360" t="s">
        <v>692</v>
      </c>
      <c r="B360" s="5" t="s">
        <v>3920</v>
      </c>
    </row>
    <row r="361" spans="1:2" x14ac:dyDescent="0.25">
      <c r="A361" t="s">
        <v>694</v>
      </c>
      <c r="B361" s="5" t="s">
        <v>3977</v>
      </c>
    </row>
    <row r="362" spans="1:2" x14ac:dyDescent="0.25">
      <c r="A362" t="s">
        <v>696</v>
      </c>
      <c r="B362" s="5" t="s">
        <v>3977</v>
      </c>
    </row>
    <row r="363" spans="1:2" x14ac:dyDescent="0.25">
      <c r="A363" t="s">
        <v>698</v>
      </c>
      <c r="B363" s="5" t="s">
        <v>3949</v>
      </c>
    </row>
    <row r="364" spans="1:2" x14ac:dyDescent="0.25">
      <c r="A364" t="s">
        <v>700</v>
      </c>
      <c r="B364" s="5" t="s">
        <v>3878</v>
      </c>
    </row>
    <row r="365" spans="1:2" x14ac:dyDescent="0.25">
      <c r="A365" t="s">
        <v>702</v>
      </c>
      <c r="B365" s="5" t="s">
        <v>3878</v>
      </c>
    </row>
    <row r="366" spans="1:2" x14ac:dyDescent="0.25">
      <c r="A366" t="s">
        <v>704</v>
      </c>
      <c r="B366" s="5" t="s">
        <v>3920</v>
      </c>
    </row>
    <row r="367" spans="1:2" x14ac:dyDescent="0.25">
      <c r="A367" t="s">
        <v>706</v>
      </c>
      <c r="B367" s="5" t="s">
        <v>3920</v>
      </c>
    </row>
    <row r="368" spans="1:2" x14ac:dyDescent="0.25">
      <c r="A368" t="s">
        <v>708</v>
      </c>
      <c r="B368" s="5" t="s">
        <v>3920</v>
      </c>
    </row>
    <row r="369" spans="1:2" x14ac:dyDescent="0.25">
      <c r="A369" t="s">
        <v>710</v>
      </c>
      <c r="B369" s="5" t="s">
        <v>3920</v>
      </c>
    </row>
    <row r="370" spans="1:2" x14ac:dyDescent="0.25">
      <c r="A370" t="s">
        <v>712</v>
      </c>
      <c r="B370" s="5" t="s">
        <v>3920</v>
      </c>
    </row>
    <row r="371" spans="1:2" x14ac:dyDescent="0.25">
      <c r="A371" t="s">
        <v>714</v>
      </c>
      <c r="B371" s="5" t="s">
        <v>3920</v>
      </c>
    </row>
    <row r="372" spans="1:2" x14ac:dyDescent="0.25">
      <c r="A372" t="s">
        <v>716</v>
      </c>
      <c r="B372" s="5" t="s">
        <v>3901</v>
      </c>
    </row>
    <row r="373" spans="1:2" x14ac:dyDescent="0.25">
      <c r="A373" t="s">
        <v>717</v>
      </c>
      <c r="B373" s="5" t="s">
        <v>3901</v>
      </c>
    </row>
    <row r="374" spans="1:2" x14ac:dyDescent="0.25">
      <c r="A374" t="s">
        <v>718</v>
      </c>
      <c r="B374" s="5" t="s">
        <v>3901</v>
      </c>
    </row>
    <row r="375" spans="1:2" x14ac:dyDescent="0.25">
      <c r="A375" t="s">
        <v>719</v>
      </c>
      <c r="B375" s="5" t="s">
        <v>3884</v>
      </c>
    </row>
    <row r="376" spans="1:2" x14ac:dyDescent="0.25">
      <c r="A376" t="s">
        <v>721</v>
      </c>
      <c r="B376" s="5" t="s">
        <v>3884</v>
      </c>
    </row>
    <row r="377" spans="1:2" x14ac:dyDescent="0.25">
      <c r="A377" t="s">
        <v>723</v>
      </c>
      <c r="B377" s="5" t="s">
        <v>3884</v>
      </c>
    </row>
    <row r="378" spans="1:2" x14ac:dyDescent="0.25">
      <c r="A378" t="s">
        <v>725</v>
      </c>
      <c r="B378" s="5" t="s">
        <v>3870</v>
      </c>
    </row>
    <row r="379" spans="1:2" x14ac:dyDescent="0.25">
      <c r="A379" t="s">
        <v>726</v>
      </c>
      <c r="B379" s="5" t="s">
        <v>3870</v>
      </c>
    </row>
    <row r="380" spans="1:2" x14ac:dyDescent="0.25">
      <c r="A380" t="s">
        <v>728</v>
      </c>
      <c r="B380" s="5" t="s">
        <v>3870</v>
      </c>
    </row>
    <row r="381" spans="1:2" x14ac:dyDescent="0.25">
      <c r="A381" t="s">
        <v>730</v>
      </c>
      <c r="B381" s="5" t="s">
        <v>3870</v>
      </c>
    </row>
    <row r="382" spans="1:2" x14ac:dyDescent="0.25">
      <c r="A382" t="s">
        <v>732</v>
      </c>
      <c r="B382" s="5" t="s">
        <v>3922</v>
      </c>
    </row>
    <row r="383" spans="1:2" x14ac:dyDescent="0.25">
      <c r="A383" t="s">
        <v>734</v>
      </c>
      <c r="B383" s="5" t="s">
        <v>4097</v>
      </c>
    </row>
    <row r="384" spans="1:2" x14ac:dyDescent="0.25">
      <c r="A384" t="s">
        <v>736</v>
      </c>
      <c r="B384" s="5" t="s">
        <v>3920</v>
      </c>
    </row>
    <row r="385" spans="1:2" x14ac:dyDescent="0.25">
      <c r="A385" t="s">
        <v>738</v>
      </c>
      <c r="B385" s="5" t="s">
        <v>4462</v>
      </c>
    </row>
    <row r="386" spans="1:2" x14ac:dyDescent="0.25">
      <c r="A386" t="s">
        <v>740</v>
      </c>
      <c r="B386" s="5" t="s">
        <v>4097</v>
      </c>
    </row>
    <row r="387" spans="1:2" x14ac:dyDescent="0.25">
      <c r="A387" t="s">
        <v>742</v>
      </c>
      <c r="B387" s="5" t="s">
        <v>4097</v>
      </c>
    </row>
    <row r="388" spans="1:2" x14ac:dyDescent="0.25">
      <c r="A388" t="s">
        <v>744</v>
      </c>
      <c r="B388" s="5" t="s">
        <v>3884</v>
      </c>
    </row>
    <row r="389" spans="1:2" x14ac:dyDescent="0.25">
      <c r="A389" t="s">
        <v>746</v>
      </c>
      <c r="B389" s="5" t="s">
        <v>3884</v>
      </c>
    </row>
    <row r="390" spans="1:2" x14ac:dyDescent="0.25">
      <c r="A390" t="s">
        <v>748</v>
      </c>
      <c r="B390" s="5" t="s">
        <v>3884</v>
      </c>
    </row>
    <row r="391" spans="1:2" x14ac:dyDescent="0.25">
      <c r="A391" t="s">
        <v>750</v>
      </c>
      <c r="B391" s="5" t="s">
        <v>3884</v>
      </c>
    </row>
    <row r="392" spans="1:2" x14ac:dyDescent="0.25">
      <c r="A392" t="s">
        <v>752</v>
      </c>
      <c r="B392" s="5" t="s">
        <v>3884</v>
      </c>
    </row>
    <row r="393" spans="1:2" x14ac:dyDescent="0.25">
      <c r="A393" t="s">
        <v>754</v>
      </c>
      <c r="B393" s="5" t="s">
        <v>3884</v>
      </c>
    </row>
    <row r="394" spans="1:2" x14ac:dyDescent="0.25">
      <c r="A394" t="s">
        <v>756</v>
      </c>
      <c r="B394" s="5" t="s">
        <v>3884</v>
      </c>
    </row>
    <row r="395" spans="1:2" x14ac:dyDescent="0.25">
      <c r="A395" t="s">
        <v>758</v>
      </c>
      <c r="B395" s="5" t="s">
        <v>3884</v>
      </c>
    </row>
    <row r="396" spans="1:2" x14ac:dyDescent="0.25">
      <c r="A396" t="s">
        <v>760</v>
      </c>
      <c r="B396" s="5" t="s">
        <v>4067</v>
      </c>
    </row>
    <row r="397" spans="1:2" x14ac:dyDescent="0.25">
      <c r="A397" t="s">
        <v>761</v>
      </c>
      <c r="B397" s="5" t="s">
        <v>3870</v>
      </c>
    </row>
    <row r="398" spans="1:2" x14ac:dyDescent="0.25">
      <c r="A398" t="s">
        <v>763</v>
      </c>
      <c r="B398" s="5" t="s">
        <v>3901</v>
      </c>
    </row>
    <row r="399" spans="1:2" x14ac:dyDescent="0.25">
      <c r="A399" t="s">
        <v>764</v>
      </c>
      <c r="B399" s="5" t="s">
        <v>4562</v>
      </c>
    </row>
    <row r="400" spans="1:2" x14ac:dyDescent="0.25">
      <c r="A400" t="s">
        <v>766</v>
      </c>
      <c r="B400" s="5" t="s">
        <v>3884</v>
      </c>
    </row>
    <row r="401" spans="1:2" x14ac:dyDescent="0.25">
      <c r="A401" t="s">
        <v>768</v>
      </c>
      <c r="B401" s="5" t="s">
        <v>3870</v>
      </c>
    </row>
    <row r="402" spans="1:2" x14ac:dyDescent="0.25">
      <c r="A402" t="s">
        <v>770</v>
      </c>
      <c r="B402" s="5" t="s">
        <v>3870</v>
      </c>
    </row>
    <row r="403" spans="1:2" x14ac:dyDescent="0.25">
      <c r="A403" t="s">
        <v>772</v>
      </c>
      <c r="B403" s="5" t="s">
        <v>3870</v>
      </c>
    </row>
    <row r="404" spans="1:2" x14ac:dyDescent="0.25">
      <c r="A404" t="s">
        <v>774</v>
      </c>
      <c r="B404" s="5" t="s">
        <v>3870</v>
      </c>
    </row>
    <row r="405" spans="1:2" x14ac:dyDescent="0.25">
      <c r="A405" t="s">
        <v>776</v>
      </c>
      <c r="B405" s="5" t="s">
        <v>3870</v>
      </c>
    </row>
    <row r="406" spans="1:2" x14ac:dyDescent="0.25">
      <c r="A406" t="s">
        <v>778</v>
      </c>
      <c r="B406" s="5" t="s">
        <v>3901</v>
      </c>
    </row>
    <row r="407" spans="1:2" x14ac:dyDescent="0.25">
      <c r="A407" t="s">
        <v>780</v>
      </c>
      <c r="B407" s="5" t="s">
        <v>3939</v>
      </c>
    </row>
    <row r="408" spans="1:2" x14ac:dyDescent="0.25">
      <c r="A408" t="s">
        <v>782</v>
      </c>
      <c r="B408" s="5" t="s">
        <v>3939</v>
      </c>
    </row>
    <row r="409" spans="1:2" x14ac:dyDescent="0.25">
      <c r="A409" t="s">
        <v>784</v>
      </c>
      <c r="B409" s="5" t="s">
        <v>3939</v>
      </c>
    </row>
    <row r="410" spans="1:2" x14ac:dyDescent="0.25">
      <c r="A410" t="s">
        <v>786</v>
      </c>
      <c r="B410" s="5" t="s">
        <v>3894</v>
      </c>
    </row>
    <row r="411" spans="1:2" x14ac:dyDescent="0.25">
      <c r="A411" t="s">
        <v>788</v>
      </c>
      <c r="B411" s="5" t="s">
        <v>4562</v>
      </c>
    </row>
    <row r="412" spans="1:2" x14ac:dyDescent="0.25">
      <c r="A412" t="s">
        <v>789</v>
      </c>
      <c r="B412" s="5" t="s">
        <v>4562</v>
      </c>
    </row>
    <row r="413" spans="1:2" x14ac:dyDescent="0.25">
      <c r="A413" t="s">
        <v>790</v>
      </c>
      <c r="B413" s="5" t="s">
        <v>3878</v>
      </c>
    </row>
    <row r="414" spans="1:2" x14ac:dyDescent="0.25">
      <c r="A414" t="s">
        <v>792</v>
      </c>
      <c r="B414" s="5" t="s">
        <v>3878</v>
      </c>
    </row>
    <row r="415" spans="1:2" x14ac:dyDescent="0.25">
      <c r="A415" t="s">
        <v>794</v>
      </c>
      <c r="B415" s="5" t="s">
        <v>3878</v>
      </c>
    </row>
    <row r="416" spans="1:2" x14ac:dyDescent="0.25">
      <c r="A416" t="s">
        <v>796</v>
      </c>
      <c r="B416" s="5" t="s">
        <v>3991</v>
      </c>
    </row>
    <row r="417" spans="1:2" x14ac:dyDescent="0.25">
      <c r="A417" t="s">
        <v>798</v>
      </c>
      <c r="B417" s="5" t="s">
        <v>3991</v>
      </c>
    </row>
    <row r="418" spans="1:2" x14ac:dyDescent="0.25">
      <c r="A418" t="s">
        <v>800</v>
      </c>
      <c r="B418" s="5" t="s">
        <v>4462</v>
      </c>
    </row>
    <row r="419" spans="1:2" x14ac:dyDescent="0.25">
      <c r="A419" t="s">
        <v>802</v>
      </c>
      <c r="B419" s="5" t="s">
        <v>3884</v>
      </c>
    </row>
    <row r="420" spans="1:2" x14ac:dyDescent="0.25">
      <c r="A420" t="s">
        <v>804</v>
      </c>
      <c r="B420" s="5" t="s">
        <v>3870</v>
      </c>
    </row>
    <row r="421" spans="1:2" x14ac:dyDescent="0.25">
      <c r="A421" t="s">
        <v>806</v>
      </c>
      <c r="B421" s="5" t="s">
        <v>3870</v>
      </c>
    </row>
    <row r="422" spans="1:2" x14ac:dyDescent="0.25">
      <c r="A422" t="s">
        <v>808</v>
      </c>
      <c r="B422" s="5" t="s">
        <v>3870</v>
      </c>
    </row>
    <row r="423" spans="1:2" x14ac:dyDescent="0.25">
      <c r="A423" t="s">
        <v>810</v>
      </c>
      <c r="B423" s="5" t="s">
        <v>3870</v>
      </c>
    </row>
    <row r="424" spans="1:2" x14ac:dyDescent="0.25">
      <c r="A424" t="s">
        <v>812</v>
      </c>
      <c r="B424" s="5" t="s">
        <v>3870</v>
      </c>
    </row>
    <row r="425" spans="1:2" x14ac:dyDescent="0.25">
      <c r="A425" t="s">
        <v>814</v>
      </c>
      <c r="B425" s="5" t="s">
        <v>3870</v>
      </c>
    </row>
    <row r="426" spans="1:2" x14ac:dyDescent="0.25">
      <c r="A426" t="s">
        <v>816</v>
      </c>
      <c r="B426" s="5" t="s">
        <v>3870</v>
      </c>
    </row>
    <row r="427" spans="1:2" x14ac:dyDescent="0.25">
      <c r="A427" t="s">
        <v>818</v>
      </c>
      <c r="B427" s="5" t="s">
        <v>3870</v>
      </c>
    </row>
    <row r="428" spans="1:2" x14ac:dyDescent="0.25">
      <c r="A428" t="s">
        <v>820</v>
      </c>
      <c r="B428" s="5" t="s">
        <v>3870</v>
      </c>
    </row>
    <row r="429" spans="1:2" x14ac:dyDescent="0.25">
      <c r="A429" t="s">
        <v>822</v>
      </c>
      <c r="B429" s="5" t="s">
        <v>3870</v>
      </c>
    </row>
    <row r="430" spans="1:2" x14ac:dyDescent="0.25">
      <c r="A430" t="s">
        <v>823</v>
      </c>
      <c r="B430" s="5" t="s">
        <v>3870</v>
      </c>
    </row>
    <row r="431" spans="1:2" x14ac:dyDescent="0.25">
      <c r="A431" t="s">
        <v>825</v>
      </c>
      <c r="B431" s="5" t="s">
        <v>3870</v>
      </c>
    </row>
    <row r="432" spans="1:2" x14ac:dyDescent="0.25">
      <c r="A432" t="s">
        <v>827</v>
      </c>
      <c r="B432" s="5" t="s">
        <v>3870</v>
      </c>
    </row>
    <row r="433" spans="1:2" x14ac:dyDescent="0.25">
      <c r="A433" t="s">
        <v>829</v>
      </c>
      <c r="B433" s="5" t="s">
        <v>3884</v>
      </c>
    </row>
    <row r="434" spans="1:2" x14ac:dyDescent="0.25">
      <c r="A434" t="s">
        <v>830</v>
      </c>
      <c r="B434" s="5" t="s">
        <v>3884</v>
      </c>
    </row>
    <row r="435" spans="1:2" x14ac:dyDescent="0.25">
      <c r="A435" t="s">
        <v>832</v>
      </c>
      <c r="B435" s="5" t="s">
        <v>3878</v>
      </c>
    </row>
    <row r="436" spans="1:2" x14ac:dyDescent="0.25">
      <c r="A436" t="s">
        <v>834</v>
      </c>
      <c r="B436" s="5" t="s">
        <v>3894</v>
      </c>
    </row>
    <row r="437" spans="1:2" x14ac:dyDescent="0.25">
      <c r="A437" t="s">
        <v>836</v>
      </c>
      <c r="B437" s="5" t="s">
        <v>4330</v>
      </c>
    </row>
    <row r="438" spans="1:2" x14ac:dyDescent="0.25">
      <c r="A438" t="s">
        <v>838</v>
      </c>
      <c r="B438" s="5" t="s">
        <v>4330</v>
      </c>
    </row>
    <row r="439" spans="1:2" x14ac:dyDescent="0.25">
      <c r="A439" t="s">
        <v>840</v>
      </c>
      <c r="B439" s="5" t="s">
        <v>4330</v>
      </c>
    </row>
    <row r="440" spans="1:2" x14ac:dyDescent="0.25">
      <c r="A440" t="s">
        <v>842</v>
      </c>
      <c r="B440" s="5" t="s">
        <v>3894</v>
      </c>
    </row>
    <row r="441" spans="1:2" x14ac:dyDescent="0.25">
      <c r="A441" t="s">
        <v>844</v>
      </c>
      <c r="B441" s="5" t="s">
        <v>3894</v>
      </c>
    </row>
    <row r="442" spans="1:2" x14ac:dyDescent="0.25">
      <c r="A442" t="s">
        <v>846</v>
      </c>
      <c r="B442" s="5" t="s">
        <v>3894</v>
      </c>
    </row>
    <row r="443" spans="1:2" x14ac:dyDescent="0.25">
      <c r="A443" t="s">
        <v>848</v>
      </c>
      <c r="B443" s="5" t="s">
        <v>3878</v>
      </c>
    </row>
    <row r="444" spans="1:2" x14ac:dyDescent="0.25">
      <c r="A444" t="s">
        <v>1388</v>
      </c>
      <c r="B444" s="5" t="s">
        <v>3878</v>
      </c>
    </row>
    <row r="445" spans="1:2" x14ac:dyDescent="0.25">
      <c r="A445" t="s">
        <v>850</v>
      </c>
      <c r="B445" s="5" t="s">
        <v>4097</v>
      </c>
    </row>
    <row r="446" spans="1:2" x14ac:dyDescent="0.25">
      <c r="A446" t="s">
        <v>852</v>
      </c>
      <c r="B446" s="5" t="s">
        <v>4097</v>
      </c>
    </row>
    <row r="447" spans="1:2" x14ac:dyDescent="0.25">
      <c r="A447" t="s">
        <v>854</v>
      </c>
      <c r="B447" s="5" t="s">
        <v>4097</v>
      </c>
    </row>
    <row r="448" spans="1:2" x14ac:dyDescent="0.25">
      <c r="A448" t="s">
        <v>856</v>
      </c>
      <c r="B448" s="5" t="s">
        <v>3878</v>
      </c>
    </row>
    <row r="449" spans="1:2" x14ac:dyDescent="0.25">
      <c r="A449" t="s">
        <v>858</v>
      </c>
      <c r="B449" s="5" t="s">
        <v>3878</v>
      </c>
    </row>
    <row r="450" spans="1:2" x14ac:dyDescent="0.25">
      <c r="A450" t="s">
        <v>860</v>
      </c>
      <c r="B450" s="5" t="s">
        <v>3878</v>
      </c>
    </row>
    <row r="451" spans="1:2" x14ac:dyDescent="0.25">
      <c r="A451" t="s">
        <v>862</v>
      </c>
      <c r="B451" s="5" t="s">
        <v>3878</v>
      </c>
    </row>
    <row r="452" spans="1:2" x14ac:dyDescent="0.25">
      <c r="A452" t="s">
        <v>864</v>
      </c>
      <c r="B452" s="5" t="s">
        <v>3949</v>
      </c>
    </row>
    <row r="453" spans="1:2" x14ac:dyDescent="0.25">
      <c r="A453" t="s">
        <v>866</v>
      </c>
      <c r="B453" s="5" t="s">
        <v>3949</v>
      </c>
    </row>
    <row r="454" spans="1:2" x14ac:dyDescent="0.25">
      <c r="A454" t="s">
        <v>868</v>
      </c>
      <c r="B454" s="5" t="s">
        <v>3949</v>
      </c>
    </row>
    <row r="455" spans="1:2" x14ac:dyDescent="0.25">
      <c r="A455" t="s">
        <v>870</v>
      </c>
      <c r="B455" s="5" t="s">
        <v>3949</v>
      </c>
    </row>
    <row r="456" spans="1:2" x14ac:dyDescent="0.25">
      <c r="A456" t="s">
        <v>872</v>
      </c>
      <c r="B456" s="5" t="s">
        <v>3949</v>
      </c>
    </row>
    <row r="457" spans="1:2" x14ac:dyDescent="0.25">
      <c r="A457" t="s">
        <v>874</v>
      </c>
      <c r="B457" s="5" t="s">
        <v>3949</v>
      </c>
    </row>
    <row r="458" spans="1:2" x14ac:dyDescent="0.25">
      <c r="A458" t="s">
        <v>876</v>
      </c>
      <c r="B458" s="5" t="s">
        <v>3949</v>
      </c>
    </row>
    <row r="459" spans="1:2" x14ac:dyDescent="0.25">
      <c r="A459" t="s">
        <v>878</v>
      </c>
      <c r="B459" s="5" t="s">
        <v>3949</v>
      </c>
    </row>
    <row r="460" spans="1:2" x14ac:dyDescent="0.25">
      <c r="A460" t="s">
        <v>880</v>
      </c>
      <c r="B460" s="5" t="s">
        <v>3878</v>
      </c>
    </row>
    <row r="461" spans="1:2" x14ac:dyDescent="0.25">
      <c r="A461" t="s">
        <v>882</v>
      </c>
      <c r="B461" s="5" t="s">
        <v>3878</v>
      </c>
    </row>
    <row r="462" spans="1:2" x14ac:dyDescent="0.25">
      <c r="A462" t="s">
        <v>884</v>
      </c>
      <c r="B462" s="5" t="s">
        <v>3878</v>
      </c>
    </row>
    <row r="463" spans="1:2" x14ac:dyDescent="0.25">
      <c r="A463" t="s">
        <v>886</v>
      </c>
      <c r="B463" s="5" t="s">
        <v>3878</v>
      </c>
    </row>
    <row r="464" spans="1:2" x14ac:dyDescent="0.25">
      <c r="A464" t="s">
        <v>888</v>
      </c>
      <c r="B464" s="5" t="s">
        <v>3878</v>
      </c>
    </row>
    <row r="465" spans="1:2" x14ac:dyDescent="0.25">
      <c r="A465" t="s">
        <v>890</v>
      </c>
      <c r="B465" s="5" t="s">
        <v>3878</v>
      </c>
    </row>
    <row r="466" spans="1:2" x14ac:dyDescent="0.25">
      <c r="A466" t="s">
        <v>892</v>
      </c>
      <c r="B466" s="5" t="s">
        <v>3878</v>
      </c>
    </row>
    <row r="467" spans="1:2" x14ac:dyDescent="0.25">
      <c r="A467" t="s">
        <v>893</v>
      </c>
      <c r="B467" s="5" t="s">
        <v>3878</v>
      </c>
    </row>
    <row r="468" spans="1:2" x14ac:dyDescent="0.25">
      <c r="A468" t="s">
        <v>895</v>
      </c>
      <c r="B468" s="5" t="s">
        <v>3949</v>
      </c>
    </row>
    <row r="469" spans="1:2" x14ac:dyDescent="0.25">
      <c r="A469" t="s">
        <v>897</v>
      </c>
      <c r="B469" s="5" t="s">
        <v>3949</v>
      </c>
    </row>
    <row r="470" spans="1:2" x14ac:dyDescent="0.25">
      <c r="A470" t="s">
        <v>899</v>
      </c>
      <c r="B470" s="5" t="s">
        <v>3949</v>
      </c>
    </row>
    <row r="471" spans="1:2" x14ac:dyDescent="0.25">
      <c r="A471" t="s">
        <v>901</v>
      </c>
      <c r="B471" s="5" t="s">
        <v>3949</v>
      </c>
    </row>
    <row r="472" spans="1:2" x14ac:dyDescent="0.25">
      <c r="A472" t="s">
        <v>903</v>
      </c>
      <c r="B472" s="5" t="s">
        <v>3949</v>
      </c>
    </row>
    <row r="473" spans="1:2" x14ac:dyDescent="0.25">
      <c r="A473" t="s">
        <v>905</v>
      </c>
      <c r="B473" s="5" t="s">
        <v>3949</v>
      </c>
    </row>
    <row r="474" spans="1:2" x14ac:dyDescent="0.25">
      <c r="A474" t="s">
        <v>907</v>
      </c>
      <c r="B474" s="5" t="s">
        <v>3949</v>
      </c>
    </row>
    <row r="475" spans="1:2" x14ac:dyDescent="0.25">
      <c r="A475" t="s">
        <v>909</v>
      </c>
      <c r="B475" s="5" t="s">
        <v>3949</v>
      </c>
    </row>
    <row r="476" spans="1:2" x14ac:dyDescent="0.25">
      <c r="A476" t="s">
        <v>911</v>
      </c>
      <c r="B476" s="5" t="s">
        <v>3949</v>
      </c>
    </row>
    <row r="477" spans="1:2" x14ac:dyDescent="0.25">
      <c r="A477" t="s">
        <v>913</v>
      </c>
      <c r="B477" s="5" t="s">
        <v>3949</v>
      </c>
    </row>
    <row r="478" spans="1:2" x14ac:dyDescent="0.25">
      <c r="A478" t="s">
        <v>915</v>
      </c>
      <c r="B478" s="5" t="s">
        <v>3949</v>
      </c>
    </row>
    <row r="479" spans="1:2" x14ac:dyDescent="0.25">
      <c r="A479" t="s">
        <v>917</v>
      </c>
      <c r="B479" s="5" t="s">
        <v>3949</v>
      </c>
    </row>
    <row r="480" spans="1:2" x14ac:dyDescent="0.25">
      <c r="A480" t="s">
        <v>919</v>
      </c>
      <c r="B480" s="5" t="s">
        <v>3949</v>
      </c>
    </row>
    <row r="481" spans="1:2" x14ac:dyDescent="0.25">
      <c r="A481" t="s">
        <v>921</v>
      </c>
      <c r="B481" s="5" t="s">
        <v>3949</v>
      </c>
    </row>
    <row r="482" spans="1:2" x14ac:dyDescent="0.25">
      <c r="A482" t="s">
        <v>923</v>
      </c>
      <c r="B482" s="5" t="s">
        <v>3949</v>
      </c>
    </row>
    <row r="483" spans="1:2" x14ac:dyDescent="0.25">
      <c r="A483" t="s">
        <v>925</v>
      </c>
      <c r="B483" s="5" t="s">
        <v>3949</v>
      </c>
    </row>
    <row r="484" spans="1:2" x14ac:dyDescent="0.25">
      <c r="A484" t="s">
        <v>927</v>
      </c>
      <c r="B484" s="5" t="s">
        <v>3949</v>
      </c>
    </row>
    <row r="485" spans="1:2" x14ac:dyDescent="0.25">
      <c r="A485" t="s">
        <v>929</v>
      </c>
      <c r="B485" s="5" t="s">
        <v>3949</v>
      </c>
    </row>
    <row r="486" spans="1:2" x14ac:dyDescent="0.25">
      <c r="A486" t="s">
        <v>931</v>
      </c>
      <c r="B486" s="5" t="s">
        <v>3949</v>
      </c>
    </row>
    <row r="487" spans="1:2" x14ac:dyDescent="0.25">
      <c r="A487" t="s">
        <v>933</v>
      </c>
      <c r="B487" s="5" t="s">
        <v>3949</v>
      </c>
    </row>
    <row r="488" spans="1:2" x14ac:dyDescent="0.25">
      <c r="A488" t="s">
        <v>935</v>
      </c>
      <c r="B488" s="5" t="s">
        <v>3949</v>
      </c>
    </row>
    <row r="489" spans="1:2" x14ac:dyDescent="0.25">
      <c r="A489" t="s">
        <v>937</v>
      </c>
      <c r="B489" s="5" t="s">
        <v>4097</v>
      </c>
    </row>
    <row r="490" spans="1:2" x14ac:dyDescent="0.25">
      <c r="A490" t="s">
        <v>939</v>
      </c>
      <c r="B490" s="5" t="s">
        <v>3870</v>
      </c>
    </row>
    <row r="491" spans="1:2" x14ac:dyDescent="0.25">
      <c r="A491" t="s">
        <v>941</v>
      </c>
      <c r="B491" s="5" t="s">
        <v>3894</v>
      </c>
    </row>
    <row r="492" spans="1:2" x14ac:dyDescent="0.25">
      <c r="A492" t="s">
        <v>943</v>
      </c>
      <c r="B492" s="5" t="s">
        <v>3878</v>
      </c>
    </row>
    <row r="493" spans="1:2" x14ac:dyDescent="0.25">
      <c r="A493" t="s">
        <v>945</v>
      </c>
      <c r="B493" s="5" t="s">
        <v>3878</v>
      </c>
    </row>
    <row r="494" spans="1:2" x14ac:dyDescent="0.25">
      <c r="A494" t="s">
        <v>947</v>
      </c>
      <c r="B494" s="5" t="s">
        <v>3878</v>
      </c>
    </row>
    <row r="495" spans="1:2" x14ac:dyDescent="0.25">
      <c r="A495" t="s">
        <v>949</v>
      </c>
      <c r="B495" s="5" t="s">
        <v>3878</v>
      </c>
    </row>
    <row r="496" spans="1:2" x14ac:dyDescent="0.25">
      <c r="A496" t="s">
        <v>951</v>
      </c>
      <c r="B496" s="5" t="s">
        <v>3920</v>
      </c>
    </row>
    <row r="497" spans="1:2" x14ac:dyDescent="0.25">
      <c r="A497" t="s">
        <v>952</v>
      </c>
      <c r="B497" s="5" t="s">
        <v>3878</v>
      </c>
    </row>
    <row r="498" spans="1:2" x14ac:dyDescent="0.25">
      <c r="A498" t="s">
        <v>954</v>
      </c>
      <c r="B498" s="5" t="s">
        <v>3977</v>
      </c>
    </row>
    <row r="499" spans="1:2" x14ac:dyDescent="0.25">
      <c r="A499" t="s">
        <v>955</v>
      </c>
      <c r="B499" s="5" t="s">
        <v>3878</v>
      </c>
    </row>
    <row r="500" spans="1:2" x14ac:dyDescent="0.25">
      <c r="A500" t="s">
        <v>957</v>
      </c>
      <c r="B500" s="5" t="s">
        <v>3870</v>
      </c>
    </row>
    <row r="501" spans="1:2" x14ac:dyDescent="0.25">
      <c r="A501" t="s">
        <v>959</v>
      </c>
      <c r="B501" s="5" t="s">
        <v>3878</v>
      </c>
    </row>
    <row r="502" spans="1:2" x14ac:dyDescent="0.25">
      <c r="A502" t="s">
        <v>960</v>
      </c>
      <c r="B502" s="5" t="s">
        <v>3878</v>
      </c>
    </row>
    <row r="503" spans="1:2" x14ac:dyDescent="0.25">
      <c r="A503" t="s">
        <v>962</v>
      </c>
      <c r="B503" s="5" t="s">
        <v>3894</v>
      </c>
    </row>
    <row r="504" spans="1:2" x14ac:dyDescent="0.25">
      <c r="A504" t="s">
        <v>963</v>
      </c>
      <c r="B504" s="5" t="s">
        <v>3894</v>
      </c>
    </row>
    <row r="505" spans="1:2" x14ac:dyDescent="0.25">
      <c r="A505" t="s">
        <v>965</v>
      </c>
      <c r="B505" s="5" t="s">
        <v>3977</v>
      </c>
    </row>
    <row r="506" spans="1:2" x14ac:dyDescent="0.25">
      <c r="A506" t="s">
        <v>967</v>
      </c>
      <c r="B506" s="5" t="s">
        <v>3878</v>
      </c>
    </row>
    <row r="507" spans="1:2" x14ac:dyDescent="0.25">
      <c r="A507" t="s">
        <v>968</v>
      </c>
      <c r="B507" s="5" t="s">
        <v>3894</v>
      </c>
    </row>
    <row r="508" spans="1:2" x14ac:dyDescent="0.25">
      <c r="A508" t="s">
        <v>970</v>
      </c>
      <c r="B508" s="5" t="s">
        <v>3894</v>
      </c>
    </row>
    <row r="509" spans="1:2" x14ac:dyDescent="0.25">
      <c r="A509" t="s">
        <v>972</v>
      </c>
      <c r="B509" s="5" t="s">
        <v>3870</v>
      </c>
    </row>
    <row r="510" spans="1:2" x14ac:dyDescent="0.25">
      <c r="A510" t="s">
        <v>974</v>
      </c>
      <c r="B510" s="5" t="s">
        <v>3878</v>
      </c>
    </row>
    <row r="511" spans="1:2" x14ac:dyDescent="0.25">
      <c r="A511" t="s">
        <v>976</v>
      </c>
      <c r="B511" s="5" t="s">
        <v>3884</v>
      </c>
    </row>
    <row r="512" spans="1:2" x14ac:dyDescent="0.25">
      <c r="A512" t="s">
        <v>978</v>
      </c>
      <c r="B512" s="5" t="s">
        <v>3884</v>
      </c>
    </row>
    <row r="513" spans="1:2" x14ac:dyDescent="0.25">
      <c r="A513" t="s">
        <v>980</v>
      </c>
      <c r="B513" s="5" t="s">
        <v>3974</v>
      </c>
    </row>
    <row r="514" spans="1:2" x14ac:dyDescent="0.25">
      <c r="A514" t="s">
        <v>982</v>
      </c>
      <c r="B514" s="5" t="s">
        <v>3901</v>
      </c>
    </row>
    <row r="515" spans="1:2" x14ac:dyDescent="0.25">
      <c r="A515" t="s">
        <v>984</v>
      </c>
      <c r="B515" s="5" t="s">
        <v>4291</v>
      </c>
    </row>
    <row r="516" spans="1:2" x14ac:dyDescent="0.25">
      <c r="A516" t="s">
        <v>985</v>
      </c>
      <c r="B516" s="5" t="s">
        <v>3878</v>
      </c>
    </row>
    <row r="517" spans="1:2" x14ac:dyDescent="0.25">
      <c r="A517" t="s">
        <v>987</v>
      </c>
      <c r="B517" s="5" t="s">
        <v>3878</v>
      </c>
    </row>
    <row r="518" spans="1:2" x14ac:dyDescent="0.25">
      <c r="A518" t="s">
        <v>988</v>
      </c>
      <c r="B518" s="5" t="s">
        <v>3878</v>
      </c>
    </row>
    <row r="519" spans="1:2" x14ac:dyDescent="0.25">
      <c r="A519" t="s">
        <v>990</v>
      </c>
      <c r="B519" s="5" t="s">
        <v>3870</v>
      </c>
    </row>
    <row r="520" spans="1:2" x14ac:dyDescent="0.25">
      <c r="A520" t="s">
        <v>992</v>
      </c>
      <c r="B520" s="5" t="s">
        <v>3884</v>
      </c>
    </row>
    <row r="521" spans="1:2" x14ac:dyDescent="0.25">
      <c r="A521" t="s">
        <v>994</v>
      </c>
      <c r="B521" s="5" t="s">
        <v>3878</v>
      </c>
    </row>
    <row r="522" spans="1:2" x14ac:dyDescent="0.25">
      <c r="A522" t="s">
        <v>996</v>
      </c>
      <c r="B522" s="5" t="s">
        <v>4291</v>
      </c>
    </row>
    <row r="523" spans="1:2" x14ac:dyDescent="0.25">
      <c r="A523" t="s">
        <v>998</v>
      </c>
      <c r="B523" s="5" t="s">
        <v>3870</v>
      </c>
    </row>
    <row r="524" spans="1:2" x14ac:dyDescent="0.25">
      <c r="A524" t="s">
        <v>1000</v>
      </c>
      <c r="B524" s="5" t="s">
        <v>3922</v>
      </c>
    </row>
    <row r="525" spans="1:2" x14ac:dyDescent="0.25">
      <c r="A525" t="s">
        <v>1002</v>
      </c>
      <c r="B525" s="5" t="s">
        <v>3884</v>
      </c>
    </row>
    <row r="526" spans="1:2" x14ac:dyDescent="0.25">
      <c r="A526" t="s">
        <v>1004</v>
      </c>
      <c r="B526" s="5" t="s">
        <v>4392</v>
      </c>
    </row>
    <row r="527" spans="1:2" x14ac:dyDescent="0.25">
      <c r="A527" t="s">
        <v>1006</v>
      </c>
      <c r="B527" s="5" t="s">
        <v>4291</v>
      </c>
    </row>
    <row r="528" spans="1:2" x14ac:dyDescent="0.25">
      <c r="A528" t="s">
        <v>1008</v>
      </c>
      <c r="B528" s="5" t="s">
        <v>4291</v>
      </c>
    </row>
    <row r="529" spans="1:2" x14ac:dyDescent="0.25">
      <c r="A529" t="s">
        <v>1010</v>
      </c>
      <c r="B529" s="5" t="s">
        <v>4284</v>
      </c>
    </row>
    <row r="530" spans="1:2" x14ac:dyDescent="0.25">
      <c r="A530" t="s">
        <v>1012</v>
      </c>
      <c r="B530" s="5" t="s">
        <v>3870</v>
      </c>
    </row>
    <row r="531" spans="1:2" x14ac:dyDescent="0.25">
      <c r="A531" t="s">
        <v>1014</v>
      </c>
      <c r="B531" s="5" t="s">
        <v>4291</v>
      </c>
    </row>
    <row r="532" spans="1:2" x14ac:dyDescent="0.25">
      <c r="A532" t="s">
        <v>1016</v>
      </c>
      <c r="B532" s="5" t="s">
        <v>3870</v>
      </c>
    </row>
    <row r="533" spans="1:2" x14ac:dyDescent="0.25">
      <c r="A533" t="s">
        <v>1018</v>
      </c>
      <c r="B533" s="5" t="s">
        <v>3901</v>
      </c>
    </row>
    <row r="534" spans="1:2" x14ac:dyDescent="0.25">
      <c r="A534" t="s">
        <v>1020</v>
      </c>
      <c r="B534" s="5" t="s">
        <v>3901</v>
      </c>
    </row>
    <row r="535" spans="1:2" x14ac:dyDescent="0.25">
      <c r="A535" t="s">
        <v>1022</v>
      </c>
      <c r="B535" s="5" t="s">
        <v>4043</v>
      </c>
    </row>
    <row r="536" spans="1:2" x14ac:dyDescent="0.25">
      <c r="A536" t="s">
        <v>1024</v>
      </c>
      <c r="B536" s="5" t="s">
        <v>3884</v>
      </c>
    </row>
    <row r="537" spans="1:2" x14ac:dyDescent="0.25">
      <c r="A537" t="s">
        <v>1026</v>
      </c>
      <c r="B537" s="5" t="s">
        <v>3884</v>
      </c>
    </row>
    <row r="538" spans="1:2" x14ac:dyDescent="0.25">
      <c r="A538" t="s">
        <v>1028</v>
      </c>
      <c r="B538" s="5" t="s">
        <v>3884</v>
      </c>
    </row>
    <row r="539" spans="1:2" x14ac:dyDescent="0.25">
      <c r="A539" t="s">
        <v>1030</v>
      </c>
      <c r="B539" s="5" t="s">
        <v>3870</v>
      </c>
    </row>
    <row r="540" spans="1:2" x14ac:dyDescent="0.25">
      <c r="A540" t="s">
        <v>1032</v>
      </c>
      <c r="B540" s="5" t="s">
        <v>3878</v>
      </c>
    </row>
    <row r="541" spans="1:2" x14ac:dyDescent="0.25">
      <c r="A541" t="s">
        <v>1034</v>
      </c>
      <c r="B541" s="5" t="s">
        <v>3878</v>
      </c>
    </row>
    <row r="542" spans="1:2" x14ac:dyDescent="0.25">
      <c r="A542" t="s">
        <v>1036</v>
      </c>
      <c r="B542" s="5" t="s">
        <v>3878</v>
      </c>
    </row>
    <row r="543" spans="1:2" x14ac:dyDescent="0.25">
      <c r="A543" t="s">
        <v>1038</v>
      </c>
      <c r="B543" s="5" t="s">
        <v>4097</v>
      </c>
    </row>
    <row r="544" spans="1:2" x14ac:dyDescent="0.25">
      <c r="A544" t="s">
        <v>1039</v>
      </c>
      <c r="B544" s="5" t="s">
        <v>4562</v>
      </c>
    </row>
    <row r="545" spans="1:2" x14ac:dyDescent="0.25">
      <c r="A545" t="s">
        <v>1041</v>
      </c>
      <c r="B545" s="5" t="s">
        <v>3870</v>
      </c>
    </row>
    <row r="546" spans="1:2" x14ac:dyDescent="0.25">
      <c r="A546" t="s">
        <v>1043</v>
      </c>
      <c r="B546" s="5" t="s">
        <v>3878</v>
      </c>
    </row>
    <row r="547" spans="1:2" x14ac:dyDescent="0.25">
      <c r="A547" t="s">
        <v>1045</v>
      </c>
      <c r="B547" s="5" t="s">
        <v>4562</v>
      </c>
    </row>
    <row r="548" spans="1:2" x14ac:dyDescent="0.25">
      <c r="A548" t="s">
        <v>1046</v>
      </c>
      <c r="B548" s="5" t="s">
        <v>3878</v>
      </c>
    </row>
    <row r="549" spans="1:2" x14ac:dyDescent="0.25">
      <c r="A549" t="s">
        <v>1047</v>
      </c>
      <c r="B549" s="5" t="s">
        <v>4562</v>
      </c>
    </row>
    <row r="550" spans="1:2" x14ac:dyDescent="0.25">
      <c r="A550" t="s">
        <v>1048</v>
      </c>
      <c r="B550" s="5" t="s">
        <v>3870</v>
      </c>
    </row>
    <row r="551" spans="1:2" x14ac:dyDescent="0.25">
      <c r="A551" t="s">
        <v>1050</v>
      </c>
      <c r="B551" s="5" t="s">
        <v>3870</v>
      </c>
    </row>
    <row r="552" spans="1:2" x14ac:dyDescent="0.25">
      <c r="A552" t="s">
        <v>1052</v>
      </c>
      <c r="B552" s="5" t="s">
        <v>3870</v>
      </c>
    </row>
    <row r="553" spans="1:2" x14ac:dyDescent="0.25">
      <c r="A553" t="s">
        <v>1054</v>
      </c>
      <c r="B553" s="5" t="s">
        <v>3878</v>
      </c>
    </row>
    <row r="554" spans="1:2" x14ac:dyDescent="0.25">
      <c r="A554" t="s">
        <v>1056</v>
      </c>
      <c r="B554" s="5" t="s">
        <v>4043</v>
      </c>
    </row>
    <row r="555" spans="1:2" x14ac:dyDescent="0.25">
      <c r="A555" t="s">
        <v>1057</v>
      </c>
      <c r="B555" s="5" t="s">
        <v>4043</v>
      </c>
    </row>
    <row r="556" spans="1:2" x14ac:dyDescent="0.25">
      <c r="A556" t="s">
        <v>1058</v>
      </c>
      <c r="B556" s="5" t="s">
        <v>3878</v>
      </c>
    </row>
    <row r="557" spans="1:2" x14ac:dyDescent="0.25">
      <c r="A557" t="s">
        <v>1060</v>
      </c>
      <c r="B557" s="5" t="s">
        <v>3870</v>
      </c>
    </row>
    <row r="558" spans="1:2" x14ac:dyDescent="0.25">
      <c r="A558" t="s">
        <v>1062</v>
      </c>
      <c r="B558" s="5" t="s">
        <v>4291</v>
      </c>
    </row>
    <row r="559" spans="1:2" x14ac:dyDescent="0.25">
      <c r="A559" t="s">
        <v>1064</v>
      </c>
      <c r="B559" s="5" t="s">
        <v>3884</v>
      </c>
    </row>
    <row r="560" spans="1:2" x14ac:dyDescent="0.25">
      <c r="A560" t="s">
        <v>1066</v>
      </c>
      <c r="B560" s="5" t="s">
        <v>3977</v>
      </c>
    </row>
    <row r="561" spans="1:2" x14ac:dyDescent="0.25">
      <c r="A561" t="s">
        <v>1068</v>
      </c>
      <c r="B561" s="5" t="s">
        <v>4043</v>
      </c>
    </row>
    <row r="562" spans="1:2" x14ac:dyDescent="0.25">
      <c r="A562" t="s">
        <v>1070</v>
      </c>
      <c r="B562" s="5" t="s">
        <v>3977</v>
      </c>
    </row>
    <row r="563" spans="1:2" x14ac:dyDescent="0.25">
      <c r="A563" t="s">
        <v>1072</v>
      </c>
      <c r="B563" s="5" t="s">
        <v>4094</v>
      </c>
    </row>
    <row r="564" spans="1:2" x14ac:dyDescent="0.25">
      <c r="A564" t="s">
        <v>1074</v>
      </c>
      <c r="B564" s="5" t="s">
        <v>3977</v>
      </c>
    </row>
    <row r="565" spans="1:2" x14ac:dyDescent="0.25">
      <c r="A565" t="s">
        <v>1076</v>
      </c>
      <c r="B565" s="5" t="s">
        <v>4094</v>
      </c>
    </row>
    <row r="566" spans="1:2" x14ac:dyDescent="0.25">
      <c r="A566" t="s">
        <v>1078</v>
      </c>
      <c r="B566" s="5" t="s">
        <v>3977</v>
      </c>
    </row>
    <row r="567" spans="1:2" x14ac:dyDescent="0.25">
      <c r="A567" t="s">
        <v>1080</v>
      </c>
      <c r="B567" s="5" t="s">
        <v>4094</v>
      </c>
    </row>
    <row r="568" spans="1:2" x14ac:dyDescent="0.25">
      <c r="A568" t="s">
        <v>1082</v>
      </c>
      <c r="B568" s="5" t="s">
        <v>3894</v>
      </c>
    </row>
    <row r="569" spans="1:2" x14ac:dyDescent="0.25">
      <c r="A569" t="s">
        <v>1084</v>
      </c>
      <c r="B569" s="5" t="s">
        <v>4094</v>
      </c>
    </row>
    <row r="570" spans="1:2" x14ac:dyDescent="0.25">
      <c r="A570" t="s">
        <v>1086</v>
      </c>
      <c r="B570" s="5" t="s">
        <v>4043</v>
      </c>
    </row>
    <row r="571" spans="1:2" x14ac:dyDescent="0.25">
      <c r="A571" t="s">
        <v>1088</v>
      </c>
      <c r="B571" s="5" t="s">
        <v>3901</v>
      </c>
    </row>
    <row r="572" spans="1:2" x14ac:dyDescent="0.25">
      <c r="A572" t="s">
        <v>1089</v>
      </c>
      <c r="B572" s="5" t="s">
        <v>4392</v>
      </c>
    </row>
    <row r="573" spans="1:2" x14ac:dyDescent="0.25">
      <c r="A573" t="s">
        <v>1091</v>
      </c>
      <c r="B573" s="5" t="s">
        <v>4392</v>
      </c>
    </row>
    <row r="574" spans="1:2" x14ac:dyDescent="0.25">
      <c r="A574" t="s">
        <v>1093</v>
      </c>
      <c r="B574" s="5" t="s">
        <v>3901</v>
      </c>
    </row>
    <row r="575" spans="1:2" x14ac:dyDescent="0.25">
      <c r="A575" t="s">
        <v>1095</v>
      </c>
      <c r="B575" s="5" t="s">
        <v>3870</v>
      </c>
    </row>
    <row r="576" spans="1:2" x14ac:dyDescent="0.25">
      <c r="A576" t="s">
        <v>1097</v>
      </c>
      <c r="B576" s="5" t="s">
        <v>3922</v>
      </c>
    </row>
    <row r="577" spans="1:2" x14ac:dyDescent="0.25">
      <c r="A577" t="s">
        <v>1099</v>
      </c>
      <c r="B577" s="5" t="s">
        <v>3878</v>
      </c>
    </row>
    <row r="578" spans="1:2" x14ac:dyDescent="0.25">
      <c r="A578" t="s">
        <v>1101</v>
      </c>
      <c r="B578" s="5" t="s">
        <v>3894</v>
      </c>
    </row>
    <row r="579" spans="1:2" x14ac:dyDescent="0.25">
      <c r="A579" t="s">
        <v>1103</v>
      </c>
      <c r="B579" s="5" t="s">
        <v>3949</v>
      </c>
    </row>
    <row r="580" spans="1:2" x14ac:dyDescent="0.25">
      <c r="A580" t="s">
        <v>1105</v>
      </c>
      <c r="B580" s="5" t="s">
        <v>3949</v>
      </c>
    </row>
    <row r="581" spans="1:2" x14ac:dyDescent="0.25">
      <c r="A581" t="s">
        <v>1107</v>
      </c>
      <c r="B581" s="5" t="s">
        <v>3949</v>
      </c>
    </row>
    <row r="582" spans="1:2" x14ac:dyDescent="0.25">
      <c r="A582" t="s">
        <v>1109</v>
      </c>
      <c r="B582" s="5" t="s">
        <v>3949</v>
      </c>
    </row>
    <row r="583" spans="1:2" x14ac:dyDescent="0.25">
      <c r="A583" t="s">
        <v>1111</v>
      </c>
      <c r="B583" s="5" t="s">
        <v>3949</v>
      </c>
    </row>
    <row r="584" spans="1:2" x14ac:dyDescent="0.25">
      <c r="A584" t="s">
        <v>1113</v>
      </c>
      <c r="B584" s="5" t="s">
        <v>3949</v>
      </c>
    </row>
    <row r="585" spans="1:2" x14ac:dyDescent="0.25">
      <c r="A585" t="s">
        <v>1115</v>
      </c>
      <c r="B585" s="5" t="s">
        <v>3949</v>
      </c>
    </row>
    <row r="586" spans="1:2" x14ac:dyDescent="0.25">
      <c r="A586" t="s">
        <v>1117</v>
      </c>
      <c r="B586" s="5" t="s">
        <v>3878</v>
      </c>
    </row>
    <row r="587" spans="1:2" x14ac:dyDescent="0.25">
      <c r="A587" t="s">
        <v>1119</v>
      </c>
      <c r="B587" s="5" t="s">
        <v>3878</v>
      </c>
    </row>
    <row r="588" spans="1:2" x14ac:dyDescent="0.25">
      <c r="A588" t="s">
        <v>1121</v>
      </c>
      <c r="B588" s="5" t="s">
        <v>3878</v>
      </c>
    </row>
    <row r="589" spans="1:2" x14ac:dyDescent="0.25">
      <c r="A589" t="s">
        <v>1123</v>
      </c>
      <c r="B589" s="5" t="s">
        <v>3878</v>
      </c>
    </row>
    <row r="590" spans="1:2" x14ac:dyDescent="0.25">
      <c r="A590" t="s">
        <v>1125</v>
      </c>
      <c r="B590" s="5" t="s">
        <v>3878</v>
      </c>
    </row>
    <row r="591" spans="1:2" x14ac:dyDescent="0.25">
      <c r="A591" t="s">
        <v>1127</v>
      </c>
      <c r="B591" s="5" t="s">
        <v>4291</v>
      </c>
    </row>
    <row r="592" spans="1:2" x14ac:dyDescent="0.25">
      <c r="A592" t="s">
        <v>1129</v>
      </c>
      <c r="B592" s="5" t="s">
        <v>3949</v>
      </c>
    </row>
    <row r="593" spans="1:2" x14ac:dyDescent="0.25">
      <c r="A593" t="s">
        <v>1131</v>
      </c>
      <c r="B593" s="5" t="s">
        <v>3878</v>
      </c>
    </row>
    <row r="594" spans="1:2" x14ac:dyDescent="0.25">
      <c r="A594" t="s">
        <v>1133</v>
      </c>
      <c r="B594" s="5" t="s">
        <v>3878</v>
      </c>
    </row>
    <row r="595" spans="1:2" x14ac:dyDescent="0.25">
      <c r="A595" t="s">
        <v>1135</v>
      </c>
      <c r="B595" s="5" t="s">
        <v>3878</v>
      </c>
    </row>
    <row r="596" spans="1:2" x14ac:dyDescent="0.25">
      <c r="A596" t="s">
        <v>1137</v>
      </c>
      <c r="B596" s="5" t="s">
        <v>3878</v>
      </c>
    </row>
    <row r="597" spans="1:2" x14ac:dyDescent="0.25">
      <c r="A597" t="s">
        <v>1139</v>
      </c>
      <c r="B597" s="5" t="s">
        <v>3870</v>
      </c>
    </row>
    <row r="598" spans="1:2" x14ac:dyDescent="0.25">
      <c r="A598" t="s">
        <v>1141</v>
      </c>
      <c r="B598" s="5" t="s">
        <v>3870</v>
      </c>
    </row>
    <row r="599" spans="1:2" x14ac:dyDescent="0.25">
      <c r="A599" t="s">
        <v>1143</v>
      </c>
      <c r="B599" s="5" t="s">
        <v>3870</v>
      </c>
    </row>
    <row r="600" spans="1:2" x14ac:dyDescent="0.25">
      <c r="A600" t="s">
        <v>1145</v>
      </c>
      <c r="B600" s="5" t="s">
        <v>3991</v>
      </c>
    </row>
    <row r="601" spans="1:2" x14ac:dyDescent="0.25">
      <c r="A601" t="s">
        <v>1147</v>
      </c>
      <c r="B601" s="5" t="s">
        <v>3870</v>
      </c>
    </row>
    <row r="602" spans="1:2" x14ac:dyDescent="0.25">
      <c r="A602" t="s">
        <v>1149</v>
      </c>
      <c r="B602" s="5" t="s">
        <v>3870</v>
      </c>
    </row>
    <row r="603" spans="1:2" x14ac:dyDescent="0.25">
      <c r="A603" t="s">
        <v>1151</v>
      </c>
      <c r="B603" s="5" t="s">
        <v>3870</v>
      </c>
    </row>
    <row r="604" spans="1:2" x14ac:dyDescent="0.25">
      <c r="A604" t="s">
        <v>1153</v>
      </c>
      <c r="B604" s="5" t="s">
        <v>3949</v>
      </c>
    </row>
    <row r="605" spans="1:2" x14ac:dyDescent="0.25">
      <c r="A605" t="s">
        <v>1155</v>
      </c>
      <c r="B605" s="5" t="s">
        <v>3949</v>
      </c>
    </row>
    <row r="606" spans="1:2" x14ac:dyDescent="0.25">
      <c r="A606" t="s">
        <v>1157</v>
      </c>
      <c r="B606" s="5" t="s">
        <v>3949</v>
      </c>
    </row>
    <row r="607" spans="1:2" x14ac:dyDescent="0.25">
      <c r="A607" t="s">
        <v>1159</v>
      </c>
      <c r="B607" s="5" t="s">
        <v>3949</v>
      </c>
    </row>
    <row r="608" spans="1:2" x14ac:dyDescent="0.25">
      <c r="A608" t="s">
        <v>1161</v>
      </c>
      <c r="B608" s="5" t="s">
        <v>3949</v>
      </c>
    </row>
    <row r="609" spans="1:2" x14ac:dyDescent="0.25">
      <c r="A609" t="s">
        <v>1163</v>
      </c>
      <c r="B609" s="5" t="s">
        <v>3949</v>
      </c>
    </row>
    <row r="610" spans="1:2" x14ac:dyDescent="0.25">
      <c r="A610" t="s">
        <v>1165</v>
      </c>
      <c r="B610" s="5" t="s">
        <v>3949</v>
      </c>
    </row>
    <row r="611" spans="1:2" x14ac:dyDescent="0.25">
      <c r="A611" t="s">
        <v>1167</v>
      </c>
      <c r="B611" s="5" t="s">
        <v>3949</v>
      </c>
    </row>
    <row r="612" spans="1:2" x14ac:dyDescent="0.25">
      <c r="A612" t="s">
        <v>1169</v>
      </c>
      <c r="B612" s="5" t="s">
        <v>4284</v>
      </c>
    </row>
    <row r="613" spans="1:2" x14ac:dyDescent="0.25">
      <c r="A613" t="s">
        <v>1171</v>
      </c>
      <c r="B613" s="5" t="s">
        <v>4284</v>
      </c>
    </row>
    <row r="614" spans="1:2" x14ac:dyDescent="0.25">
      <c r="A614" t="s">
        <v>1173</v>
      </c>
      <c r="B614" s="5" t="s">
        <v>3878</v>
      </c>
    </row>
    <row r="615" spans="1:2" x14ac:dyDescent="0.25">
      <c r="A615" t="s">
        <v>1175</v>
      </c>
      <c r="B615" s="5" t="s">
        <v>3884</v>
      </c>
    </row>
    <row r="616" spans="1:2" x14ac:dyDescent="0.25">
      <c r="A616" t="s">
        <v>1177</v>
      </c>
      <c r="B616" s="5" t="s">
        <v>3894</v>
      </c>
    </row>
    <row r="617" spans="1:2" x14ac:dyDescent="0.25">
      <c r="A617" t="s">
        <v>1178</v>
      </c>
      <c r="B617" s="5" t="s">
        <v>3974</v>
      </c>
    </row>
    <row r="618" spans="1:2" x14ac:dyDescent="0.25">
      <c r="A618" t="s">
        <v>1180</v>
      </c>
      <c r="B618" s="5" t="s">
        <v>3870</v>
      </c>
    </row>
    <row r="619" spans="1:2" x14ac:dyDescent="0.25">
      <c r="A619" t="s">
        <v>1182</v>
      </c>
      <c r="B619" s="5" t="s">
        <v>4067</v>
      </c>
    </row>
    <row r="620" spans="1:2" x14ac:dyDescent="0.25">
      <c r="A620" t="s">
        <v>1184</v>
      </c>
      <c r="B620" s="5" t="s">
        <v>4067</v>
      </c>
    </row>
    <row r="621" spans="1:2" x14ac:dyDescent="0.25">
      <c r="A621" t="s">
        <v>1186</v>
      </c>
      <c r="B621" s="5" t="s">
        <v>3936</v>
      </c>
    </row>
    <row r="622" spans="1:2" x14ac:dyDescent="0.25">
      <c r="A622" t="s">
        <v>1188</v>
      </c>
      <c r="B622" s="5" t="s">
        <v>3878</v>
      </c>
    </row>
    <row r="623" spans="1:2" x14ac:dyDescent="0.25">
      <c r="A623" t="s">
        <v>1190</v>
      </c>
      <c r="B623" s="5" t="s">
        <v>3974</v>
      </c>
    </row>
    <row r="624" spans="1:2" x14ac:dyDescent="0.25">
      <c r="A624" t="s">
        <v>1192</v>
      </c>
      <c r="B624" s="5" t="s">
        <v>4392</v>
      </c>
    </row>
    <row r="625" spans="1:2" x14ac:dyDescent="0.25">
      <c r="A625" t="s">
        <v>1194</v>
      </c>
      <c r="B625" s="5" t="s">
        <v>4392</v>
      </c>
    </row>
    <row r="626" spans="1:2" x14ac:dyDescent="0.25">
      <c r="A626" t="s">
        <v>1196</v>
      </c>
      <c r="B626" s="5" t="s">
        <v>3894</v>
      </c>
    </row>
    <row r="627" spans="1:2" x14ac:dyDescent="0.25">
      <c r="A627" t="s">
        <v>1198</v>
      </c>
      <c r="B627" s="5" t="s">
        <v>3894</v>
      </c>
    </row>
    <row r="628" spans="1:2" x14ac:dyDescent="0.25">
      <c r="A628" t="s">
        <v>1200</v>
      </c>
      <c r="B628" s="5" t="s">
        <v>3878</v>
      </c>
    </row>
    <row r="629" spans="1:2" x14ac:dyDescent="0.25">
      <c r="A629" t="s">
        <v>1202</v>
      </c>
      <c r="B629" s="5" t="s">
        <v>3878</v>
      </c>
    </row>
    <row r="630" spans="1:2" x14ac:dyDescent="0.25">
      <c r="A630" t="s">
        <v>1204</v>
      </c>
      <c r="B630" s="5" t="s">
        <v>3878</v>
      </c>
    </row>
    <row r="631" spans="1:2" x14ac:dyDescent="0.25">
      <c r="A631" t="s">
        <v>1206</v>
      </c>
      <c r="B631" s="5" t="s">
        <v>4043</v>
      </c>
    </row>
    <row r="632" spans="1:2" x14ac:dyDescent="0.25">
      <c r="A632" t="s">
        <v>1208</v>
      </c>
      <c r="B632" s="5" t="s">
        <v>4043</v>
      </c>
    </row>
    <row r="633" spans="1:2" x14ac:dyDescent="0.25">
      <c r="A633" t="s">
        <v>1210</v>
      </c>
      <c r="B633" s="5" t="s">
        <v>3991</v>
      </c>
    </row>
    <row r="634" spans="1:2" x14ac:dyDescent="0.25">
      <c r="A634" t="s">
        <v>1212</v>
      </c>
      <c r="B634" s="5" t="s">
        <v>3894</v>
      </c>
    </row>
    <row r="635" spans="1:2" x14ac:dyDescent="0.25">
      <c r="A635" t="s">
        <v>1214</v>
      </c>
      <c r="B635" s="5" t="s">
        <v>3894</v>
      </c>
    </row>
    <row r="636" spans="1:2" x14ac:dyDescent="0.25">
      <c r="A636" t="s">
        <v>1216</v>
      </c>
      <c r="B636" s="5" t="s">
        <v>3894</v>
      </c>
    </row>
    <row r="637" spans="1:2" x14ac:dyDescent="0.25">
      <c r="A637" t="s">
        <v>1218</v>
      </c>
      <c r="B637" s="5" t="s">
        <v>3894</v>
      </c>
    </row>
    <row r="638" spans="1:2" x14ac:dyDescent="0.25">
      <c r="A638" t="s">
        <v>1220</v>
      </c>
      <c r="B638" s="5" t="s">
        <v>3936</v>
      </c>
    </row>
    <row r="639" spans="1:2" x14ac:dyDescent="0.25">
      <c r="A639" t="s">
        <v>1221</v>
      </c>
      <c r="B639" s="5" t="s">
        <v>3894</v>
      </c>
    </row>
    <row r="640" spans="1:2" x14ac:dyDescent="0.25">
      <c r="A640" t="s">
        <v>1223</v>
      </c>
      <c r="B640" s="5" t="s">
        <v>3894</v>
      </c>
    </row>
    <row r="641" spans="1:2" x14ac:dyDescent="0.25">
      <c r="A641" t="s">
        <v>1225</v>
      </c>
      <c r="B641" s="5" t="s">
        <v>3878</v>
      </c>
    </row>
    <row r="642" spans="1:2" x14ac:dyDescent="0.25">
      <c r="A642" t="s">
        <v>1227</v>
      </c>
      <c r="B642" s="5" t="s">
        <v>3878</v>
      </c>
    </row>
    <row r="643" spans="1:2" x14ac:dyDescent="0.25">
      <c r="A643" t="s">
        <v>1229</v>
      </c>
      <c r="B643" s="5" t="s">
        <v>3939</v>
      </c>
    </row>
    <row r="644" spans="1:2" x14ac:dyDescent="0.25">
      <c r="A644" t="s">
        <v>1231</v>
      </c>
      <c r="B644" s="5" t="s">
        <v>4097</v>
      </c>
    </row>
    <row r="645" spans="1:2" x14ac:dyDescent="0.25">
      <c r="A645" t="s">
        <v>1233</v>
      </c>
      <c r="B645" s="5" t="s">
        <v>3939</v>
      </c>
    </row>
    <row r="646" spans="1:2" x14ac:dyDescent="0.25">
      <c r="A646" t="s">
        <v>1235</v>
      </c>
      <c r="B646" s="5" t="s">
        <v>3974</v>
      </c>
    </row>
    <row r="647" spans="1:2" x14ac:dyDescent="0.25">
      <c r="A647" t="s">
        <v>1237</v>
      </c>
      <c r="B647" s="5" t="s">
        <v>3870</v>
      </c>
    </row>
    <row r="648" spans="1:2" x14ac:dyDescent="0.25">
      <c r="A648" t="s">
        <v>1239</v>
      </c>
      <c r="B648" s="5" t="s">
        <v>4284</v>
      </c>
    </row>
    <row r="649" spans="1:2" x14ac:dyDescent="0.25">
      <c r="A649" t="s">
        <v>1241</v>
      </c>
      <c r="B649" s="5" t="s">
        <v>3870</v>
      </c>
    </row>
    <row r="650" spans="1:2" x14ac:dyDescent="0.25">
      <c r="A650" t="s">
        <v>1243</v>
      </c>
      <c r="B650" s="5" t="s">
        <v>3870</v>
      </c>
    </row>
    <row r="651" spans="1:2" x14ac:dyDescent="0.25">
      <c r="A651" t="s">
        <v>1244</v>
      </c>
      <c r="B651" s="5" t="s">
        <v>3884</v>
      </c>
    </row>
    <row r="652" spans="1:2" x14ac:dyDescent="0.25">
      <c r="A652" t="s">
        <v>1246</v>
      </c>
      <c r="B652" s="5" t="s">
        <v>3884</v>
      </c>
    </row>
    <row r="653" spans="1:2" x14ac:dyDescent="0.25">
      <c r="A653" t="s">
        <v>1248</v>
      </c>
      <c r="B653" s="5" t="s">
        <v>3884</v>
      </c>
    </row>
    <row r="654" spans="1:2" x14ac:dyDescent="0.25">
      <c r="A654" t="s">
        <v>1250</v>
      </c>
      <c r="B654" s="5" t="s">
        <v>3884</v>
      </c>
    </row>
    <row r="655" spans="1:2" x14ac:dyDescent="0.25">
      <c r="A655" t="s">
        <v>1252</v>
      </c>
      <c r="B655" s="5" t="s">
        <v>3884</v>
      </c>
    </row>
    <row r="656" spans="1:2" x14ac:dyDescent="0.25">
      <c r="A656" t="s">
        <v>1254</v>
      </c>
      <c r="B656" s="5" t="s">
        <v>3884</v>
      </c>
    </row>
    <row r="657" spans="1:2" x14ac:dyDescent="0.25">
      <c r="A657" t="s">
        <v>1256</v>
      </c>
      <c r="B657" s="5" t="s">
        <v>3939</v>
      </c>
    </row>
    <row r="658" spans="1:2" x14ac:dyDescent="0.25">
      <c r="A658" t="s">
        <v>1257</v>
      </c>
      <c r="B658" s="5" t="s">
        <v>4097</v>
      </c>
    </row>
    <row r="659" spans="1:2" x14ac:dyDescent="0.25">
      <c r="A659" t="s">
        <v>1259</v>
      </c>
      <c r="B659" s="5" t="s">
        <v>3870</v>
      </c>
    </row>
    <row r="660" spans="1:2" x14ac:dyDescent="0.25">
      <c r="A660" t="s">
        <v>1261</v>
      </c>
      <c r="B660" s="5" t="s">
        <v>4067</v>
      </c>
    </row>
    <row r="661" spans="1:2" x14ac:dyDescent="0.25">
      <c r="A661" t="s">
        <v>1263</v>
      </c>
      <c r="B661" s="5" t="s">
        <v>4067</v>
      </c>
    </row>
    <row r="662" spans="1:2" x14ac:dyDescent="0.25">
      <c r="A662" t="s">
        <v>1265</v>
      </c>
      <c r="B662" s="5" t="s">
        <v>4392</v>
      </c>
    </row>
    <row r="663" spans="1:2" x14ac:dyDescent="0.25">
      <c r="A663" t="s">
        <v>1267</v>
      </c>
      <c r="B663" s="5" t="s">
        <v>3920</v>
      </c>
    </row>
    <row r="664" spans="1:2" x14ac:dyDescent="0.25">
      <c r="A664" t="s">
        <v>1269</v>
      </c>
      <c r="B664" s="5" t="s">
        <v>4067</v>
      </c>
    </row>
    <row r="665" spans="1:2" x14ac:dyDescent="0.25">
      <c r="A665" t="s">
        <v>1271</v>
      </c>
      <c r="B665" s="5" t="s">
        <v>3878</v>
      </c>
    </row>
    <row r="666" spans="1:2" x14ac:dyDescent="0.25">
      <c r="A666" t="s">
        <v>1272</v>
      </c>
      <c r="B666" s="5" t="s">
        <v>4284</v>
      </c>
    </row>
    <row r="667" spans="1:2" x14ac:dyDescent="0.25">
      <c r="A667" t="s">
        <v>1274</v>
      </c>
      <c r="B667" s="5" t="s">
        <v>4284</v>
      </c>
    </row>
    <row r="668" spans="1:2" x14ac:dyDescent="0.25">
      <c r="A668" t="s">
        <v>1276</v>
      </c>
      <c r="B668" s="5" t="s">
        <v>4097</v>
      </c>
    </row>
    <row r="669" spans="1:2" x14ac:dyDescent="0.25">
      <c r="A669" t="s">
        <v>1278</v>
      </c>
      <c r="B669" s="5" t="s">
        <v>4097</v>
      </c>
    </row>
    <row r="670" spans="1:2" x14ac:dyDescent="0.25">
      <c r="A670" t="s">
        <v>1280</v>
      </c>
      <c r="B670" s="5" t="s">
        <v>3949</v>
      </c>
    </row>
    <row r="671" spans="1:2" x14ac:dyDescent="0.25">
      <c r="A671" t="s">
        <v>1282</v>
      </c>
      <c r="B671" s="5" t="s">
        <v>3949</v>
      </c>
    </row>
    <row r="672" spans="1:2" x14ac:dyDescent="0.25">
      <c r="A672" t="s">
        <v>1284</v>
      </c>
      <c r="B672" s="5" t="s">
        <v>3949</v>
      </c>
    </row>
    <row r="673" spans="1:2" x14ac:dyDescent="0.25">
      <c r="A673" t="s">
        <v>1286</v>
      </c>
      <c r="B673" s="5" t="s">
        <v>3878</v>
      </c>
    </row>
    <row r="674" spans="1:2" x14ac:dyDescent="0.25">
      <c r="A674" t="s">
        <v>1288</v>
      </c>
      <c r="B674" s="5" t="s">
        <v>3878</v>
      </c>
    </row>
    <row r="675" spans="1:2" x14ac:dyDescent="0.25">
      <c r="A675" t="s">
        <v>1290</v>
      </c>
      <c r="B675" s="5" t="s">
        <v>3878</v>
      </c>
    </row>
    <row r="676" spans="1:2" x14ac:dyDescent="0.25">
      <c r="A676" t="s">
        <v>1292</v>
      </c>
      <c r="B676" s="5" t="s">
        <v>4291</v>
      </c>
    </row>
    <row r="677" spans="1:2" x14ac:dyDescent="0.25">
      <c r="A677" t="s">
        <v>1294</v>
      </c>
      <c r="B677" s="5" t="s">
        <v>4097</v>
      </c>
    </row>
    <row r="678" spans="1:2" x14ac:dyDescent="0.25">
      <c r="A678" t="s">
        <v>1296</v>
      </c>
      <c r="B678" s="5" t="s">
        <v>3870</v>
      </c>
    </row>
    <row r="679" spans="1:2" x14ac:dyDescent="0.25">
      <c r="A679" t="s">
        <v>1298</v>
      </c>
      <c r="B679" s="5" t="s">
        <v>3870</v>
      </c>
    </row>
    <row r="680" spans="1:2" x14ac:dyDescent="0.25">
      <c r="A680" t="s">
        <v>1300</v>
      </c>
      <c r="B680" s="5" t="s">
        <v>3870</v>
      </c>
    </row>
    <row r="681" spans="1:2" x14ac:dyDescent="0.25">
      <c r="A681" t="s">
        <v>1302</v>
      </c>
      <c r="B681" s="5" t="s">
        <v>3870</v>
      </c>
    </row>
    <row r="682" spans="1:2" x14ac:dyDescent="0.25">
      <c r="A682" t="s">
        <v>1390</v>
      </c>
      <c r="B682" s="5" t="s">
        <v>3870</v>
      </c>
    </row>
    <row r="683" spans="1:2" x14ac:dyDescent="0.25">
      <c r="A683" t="s">
        <v>1304</v>
      </c>
      <c r="B683" s="5" t="s">
        <v>3974</v>
      </c>
    </row>
    <row r="684" spans="1:2" x14ac:dyDescent="0.25">
      <c r="A684" t="s">
        <v>1306</v>
      </c>
      <c r="B684" s="5" t="s">
        <v>4043</v>
      </c>
    </row>
    <row r="685" spans="1:2" x14ac:dyDescent="0.25">
      <c r="A685" t="s">
        <v>1308</v>
      </c>
      <c r="B685" s="5" t="s">
        <v>4043</v>
      </c>
    </row>
    <row r="686" spans="1:2" x14ac:dyDescent="0.25">
      <c r="A686" t="s">
        <v>1310</v>
      </c>
      <c r="B686" s="5" t="s">
        <v>4043</v>
      </c>
    </row>
    <row r="687" spans="1:2" x14ac:dyDescent="0.25">
      <c r="A687" t="s">
        <v>1312</v>
      </c>
      <c r="B687" s="5" t="s">
        <v>4043</v>
      </c>
    </row>
    <row r="688" spans="1:2" x14ac:dyDescent="0.25">
      <c r="A688" t="s">
        <v>1314</v>
      </c>
      <c r="B688" s="5" t="s">
        <v>4440</v>
      </c>
    </row>
    <row r="689" spans="1:2" x14ac:dyDescent="0.25">
      <c r="A689" t="s">
        <v>1316</v>
      </c>
      <c r="B689" s="5" t="s">
        <v>4043</v>
      </c>
    </row>
    <row r="690" spans="1:2" x14ac:dyDescent="0.25">
      <c r="A690" t="s">
        <v>1318</v>
      </c>
      <c r="B690" s="5" t="s">
        <v>3884</v>
      </c>
    </row>
    <row r="691" spans="1:2" x14ac:dyDescent="0.25">
      <c r="A691" t="s">
        <v>1320</v>
      </c>
      <c r="B691" s="5" t="s">
        <v>3884</v>
      </c>
    </row>
    <row r="692" spans="1:2" x14ac:dyDescent="0.25">
      <c r="A692" t="s">
        <v>1322</v>
      </c>
      <c r="B692" s="5" t="s">
        <v>3884</v>
      </c>
    </row>
    <row r="693" spans="1:2" x14ac:dyDescent="0.25">
      <c r="A693" t="s">
        <v>1324</v>
      </c>
      <c r="B693" s="5" t="s">
        <v>3884</v>
      </c>
    </row>
    <row r="694" spans="1:2" x14ac:dyDescent="0.25">
      <c r="A694" t="s">
        <v>1326</v>
      </c>
      <c r="B694" s="5" t="s">
        <v>3884</v>
      </c>
    </row>
    <row r="695" spans="1:2" x14ac:dyDescent="0.25">
      <c r="A695" t="s">
        <v>1328</v>
      </c>
      <c r="B695" s="5" t="s">
        <v>3884</v>
      </c>
    </row>
    <row r="696" spans="1:2" x14ac:dyDescent="0.25">
      <c r="A696" t="s">
        <v>1330</v>
      </c>
      <c r="B696" s="5" t="s">
        <v>3884</v>
      </c>
    </row>
    <row r="697" spans="1:2" x14ac:dyDescent="0.25">
      <c r="A697" t="s">
        <v>1332</v>
      </c>
      <c r="B697" s="5" t="s">
        <v>3884</v>
      </c>
    </row>
    <row r="698" spans="1:2" x14ac:dyDescent="0.25">
      <c r="A698" t="s">
        <v>1334</v>
      </c>
      <c r="B698" s="5" t="s">
        <v>3884</v>
      </c>
    </row>
    <row r="699" spans="1:2" x14ac:dyDescent="0.25">
      <c r="A699" t="s">
        <v>1336</v>
      </c>
      <c r="B699" s="5" t="s">
        <v>3884</v>
      </c>
    </row>
    <row r="700" spans="1:2" x14ac:dyDescent="0.25">
      <c r="A700" t="s">
        <v>1338</v>
      </c>
      <c r="B700" s="5" t="s">
        <v>3884</v>
      </c>
    </row>
    <row r="701" spans="1:2" x14ac:dyDescent="0.25">
      <c r="A701" t="s">
        <v>1340</v>
      </c>
      <c r="B701" s="5" t="s">
        <v>3884</v>
      </c>
    </row>
    <row r="702" spans="1:2" x14ac:dyDescent="0.25">
      <c r="A702" t="s">
        <v>1342</v>
      </c>
      <c r="B702" s="5" t="s">
        <v>3878</v>
      </c>
    </row>
    <row r="703" spans="1:2" x14ac:dyDescent="0.25">
      <c r="A703" t="s">
        <v>1344</v>
      </c>
      <c r="B703" s="5" t="s">
        <v>3870</v>
      </c>
    </row>
    <row r="704" spans="1:2" x14ac:dyDescent="0.25">
      <c r="A704" t="s">
        <v>1346</v>
      </c>
      <c r="B704" s="5" t="s">
        <v>3884</v>
      </c>
    </row>
    <row r="705" spans="1:2" x14ac:dyDescent="0.25">
      <c r="A705" t="s">
        <v>1348</v>
      </c>
      <c r="B705" s="5" t="s">
        <v>3884</v>
      </c>
    </row>
    <row r="706" spans="1:2" x14ac:dyDescent="0.25">
      <c r="A706" t="s">
        <v>1350</v>
      </c>
      <c r="B706" s="5" t="s">
        <v>3870</v>
      </c>
    </row>
    <row r="707" spans="1:2" x14ac:dyDescent="0.25">
      <c r="A707" t="s">
        <v>1352</v>
      </c>
      <c r="B707" s="5" t="s">
        <v>4020</v>
      </c>
    </row>
    <row r="708" spans="1:2" x14ac:dyDescent="0.25">
      <c r="A708" t="s">
        <v>1353</v>
      </c>
      <c r="B708" s="5" t="s">
        <v>3884</v>
      </c>
    </row>
    <row r="709" spans="1:2" x14ac:dyDescent="0.25">
      <c r="A709" t="s">
        <v>1355</v>
      </c>
      <c r="B709" s="5" t="s">
        <v>3884</v>
      </c>
    </row>
    <row r="710" spans="1:2" x14ac:dyDescent="0.25">
      <c r="A710" t="s">
        <v>1357</v>
      </c>
      <c r="B710" s="5" t="s">
        <v>3949</v>
      </c>
    </row>
    <row r="711" spans="1:2" x14ac:dyDescent="0.25">
      <c r="A711" t="s">
        <v>1359</v>
      </c>
      <c r="B711" s="5" t="s">
        <v>3894</v>
      </c>
    </row>
    <row r="712" spans="1:2" x14ac:dyDescent="0.25">
      <c r="A712" t="s">
        <v>1361</v>
      </c>
      <c r="B712" s="5" t="s">
        <v>3878</v>
      </c>
    </row>
    <row r="713" spans="1:2" x14ac:dyDescent="0.25">
      <c r="A713" t="s">
        <v>1363</v>
      </c>
      <c r="B713" s="5" t="s">
        <v>3878</v>
      </c>
    </row>
    <row r="714" spans="1:2" x14ac:dyDescent="0.25">
      <c r="A714" t="s">
        <v>1365</v>
      </c>
      <c r="B714" s="5" t="s">
        <v>3878</v>
      </c>
    </row>
    <row r="715" spans="1:2" x14ac:dyDescent="0.25">
      <c r="A715" t="s">
        <v>1366</v>
      </c>
      <c r="B715" s="5" t="s">
        <v>3949</v>
      </c>
    </row>
    <row r="716" spans="1:2" x14ac:dyDescent="0.25">
      <c r="A716" t="s">
        <v>1368</v>
      </c>
      <c r="B716" s="5" t="s">
        <v>3949</v>
      </c>
    </row>
    <row r="717" spans="1:2" x14ac:dyDescent="0.25">
      <c r="A717" t="s">
        <v>1370</v>
      </c>
      <c r="B717" s="5" t="s">
        <v>3949</v>
      </c>
    </row>
    <row r="718" spans="1:2" x14ac:dyDescent="0.25">
      <c r="A718" t="s">
        <v>1372</v>
      </c>
      <c r="B718" s="5" t="s">
        <v>3884</v>
      </c>
    </row>
    <row r="719" spans="1:2" x14ac:dyDescent="0.25">
      <c r="A719" t="s">
        <v>1374</v>
      </c>
      <c r="B719" s="5" t="s">
        <v>3920</v>
      </c>
    </row>
    <row r="720" spans="1:2" x14ac:dyDescent="0.25">
      <c r="A720" t="s">
        <v>1376</v>
      </c>
      <c r="B720" s="5" t="s">
        <v>4004</v>
      </c>
    </row>
    <row r="721" spans="1:2" x14ac:dyDescent="0.25">
      <c r="A721" t="s">
        <v>1378</v>
      </c>
      <c r="B721" s="5" t="s">
        <v>3870</v>
      </c>
    </row>
    <row r="722" spans="1:2" x14ac:dyDescent="0.25">
      <c r="A722" t="s">
        <v>1380</v>
      </c>
      <c r="B722" s="5" t="s">
        <v>3949</v>
      </c>
    </row>
    <row r="723" spans="1:2" x14ac:dyDescent="0.25">
      <c r="A723" t="s">
        <v>1382</v>
      </c>
      <c r="B723" s="5" t="s">
        <v>3870</v>
      </c>
    </row>
    <row r="724" spans="1:2" x14ac:dyDescent="0.25">
      <c r="A724" t="s">
        <v>1384</v>
      </c>
      <c r="B724" s="5" t="s">
        <v>3870</v>
      </c>
    </row>
    <row r="725" spans="1:2" x14ac:dyDescent="0.25">
      <c r="A725" t="s">
        <v>1386</v>
      </c>
      <c r="B725" s="5" t="s">
        <v>3870</v>
      </c>
    </row>
    <row r="726" spans="1:2" x14ac:dyDescent="0.25">
      <c r="A726" t="s">
        <v>8</v>
      </c>
      <c r="B726" s="5" t="s">
        <v>3870</v>
      </c>
    </row>
    <row r="727" spans="1:2" x14ac:dyDescent="0.25">
      <c r="A727" t="s">
        <v>10</v>
      </c>
      <c r="B727" s="5" t="s">
        <v>3870</v>
      </c>
    </row>
    <row r="728" spans="1:2" x14ac:dyDescent="0.25">
      <c r="A728" t="s">
        <v>12</v>
      </c>
      <c r="B728" s="5" t="s">
        <v>3870</v>
      </c>
    </row>
    <row r="729" spans="1:2" x14ac:dyDescent="0.25">
      <c r="A729" t="s">
        <v>14</v>
      </c>
      <c r="B729" s="5" t="s">
        <v>3870</v>
      </c>
    </row>
    <row r="730" spans="1:2" x14ac:dyDescent="0.25">
      <c r="A730" t="s">
        <v>16</v>
      </c>
      <c r="B730" s="5" t="s">
        <v>3870</v>
      </c>
    </row>
    <row r="731" spans="1:2" x14ac:dyDescent="0.25">
      <c r="A731" t="s">
        <v>18</v>
      </c>
      <c r="B731" s="5" t="s">
        <v>3870</v>
      </c>
    </row>
    <row r="732" spans="1:2" x14ac:dyDescent="0.25">
      <c r="A732" t="s">
        <v>20</v>
      </c>
      <c r="B732" s="5" t="s">
        <v>3878</v>
      </c>
    </row>
    <row r="733" spans="1:2" x14ac:dyDescent="0.25">
      <c r="A733" t="s">
        <v>22</v>
      </c>
      <c r="B733" s="5" t="s">
        <v>3870</v>
      </c>
    </row>
    <row r="734" spans="1:2" x14ac:dyDescent="0.25">
      <c r="A734" t="s">
        <v>24</v>
      </c>
      <c r="B734" s="5" t="s">
        <v>3870</v>
      </c>
    </row>
    <row r="735" spans="1:2" x14ac:dyDescent="0.25">
      <c r="A735" t="s">
        <v>26</v>
      </c>
      <c r="B735" s="5" t="s">
        <v>3884</v>
      </c>
    </row>
    <row r="736" spans="1:2" x14ac:dyDescent="0.25">
      <c r="A736" t="s">
        <v>28</v>
      </c>
      <c r="B736" s="5" t="s">
        <v>3884</v>
      </c>
    </row>
    <row r="737" spans="1:2" x14ac:dyDescent="0.25">
      <c r="A737" t="s">
        <v>30</v>
      </c>
      <c r="B737" s="5" t="s">
        <v>3884</v>
      </c>
    </row>
    <row r="738" spans="1:2" x14ac:dyDescent="0.25">
      <c r="A738" t="s">
        <v>32</v>
      </c>
      <c r="B738" s="5" t="s">
        <v>3884</v>
      </c>
    </row>
    <row r="739" spans="1:2" x14ac:dyDescent="0.25">
      <c r="A739" t="s">
        <v>34</v>
      </c>
      <c r="B739" s="5" t="s">
        <v>3884</v>
      </c>
    </row>
    <row r="740" spans="1:2" x14ac:dyDescent="0.25">
      <c r="A740" t="s">
        <v>36</v>
      </c>
      <c r="B740" s="5" t="s">
        <v>3884</v>
      </c>
    </row>
    <row r="741" spans="1:2" x14ac:dyDescent="0.25">
      <c r="A741" t="s">
        <v>38</v>
      </c>
      <c r="B741" s="5" t="s">
        <v>3870</v>
      </c>
    </row>
    <row r="742" spans="1:2" x14ac:dyDescent="0.25">
      <c r="A742" t="s">
        <v>40</v>
      </c>
      <c r="B742" s="5" t="s">
        <v>3894</v>
      </c>
    </row>
    <row r="743" spans="1:2" x14ac:dyDescent="0.25">
      <c r="A743" t="s">
        <v>42</v>
      </c>
      <c r="B743" s="5" t="s">
        <v>3894</v>
      </c>
    </row>
    <row r="744" spans="1:2" x14ac:dyDescent="0.25">
      <c r="A744" t="s">
        <v>44</v>
      </c>
      <c r="B744" s="5" t="s">
        <v>3870</v>
      </c>
    </row>
    <row r="745" spans="1:2" x14ac:dyDescent="0.25">
      <c r="A745" t="s">
        <v>46</v>
      </c>
      <c r="B745" s="5" t="s">
        <v>3901</v>
      </c>
    </row>
    <row r="746" spans="1:2" x14ac:dyDescent="0.25">
      <c r="A746" t="s">
        <v>48</v>
      </c>
      <c r="B746" s="5" t="s">
        <v>3870</v>
      </c>
    </row>
    <row r="747" spans="1:2" x14ac:dyDescent="0.25">
      <c r="A747" t="s">
        <v>50</v>
      </c>
      <c r="B747" s="5" t="s">
        <v>3878</v>
      </c>
    </row>
    <row r="748" spans="1:2" x14ac:dyDescent="0.25">
      <c r="A748" t="s">
        <v>52</v>
      </c>
      <c r="B748" s="5" t="s">
        <v>3901</v>
      </c>
    </row>
    <row r="749" spans="1:2" x14ac:dyDescent="0.25">
      <c r="A749" t="s">
        <v>53</v>
      </c>
      <c r="B749" s="5" t="s">
        <v>3870</v>
      </c>
    </row>
    <row r="750" spans="1:2" x14ac:dyDescent="0.25">
      <c r="A750" t="s">
        <v>55</v>
      </c>
      <c r="B750" s="5" t="s">
        <v>3884</v>
      </c>
    </row>
    <row r="751" spans="1:2" x14ac:dyDescent="0.25">
      <c r="A751" t="s">
        <v>57</v>
      </c>
      <c r="B751" s="5" t="s">
        <v>3894</v>
      </c>
    </row>
    <row r="752" spans="1:2" x14ac:dyDescent="0.25">
      <c r="A752" t="s">
        <v>59</v>
      </c>
      <c r="B752" s="5" t="s">
        <v>3894</v>
      </c>
    </row>
    <row r="753" spans="1:2" x14ac:dyDescent="0.25">
      <c r="A753" t="s">
        <v>61</v>
      </c>
      <c r="B753" s="5" t="s">
        <v>3920</v>
      </c>
    </row>
    <row r="754" spans="1:2" x14ac:dyDescent="0.25">
      <c r="A754" t="s">
        <v>62</v>
      </c>
      <c r="B754" s="5" t="s">
        <v>3922</v>
      </c>
    </row>
    <row r="755" spans="1:2" x14ac:dyDescent="0.25">
      <c r="A755" t="s">
        <v>64</v>
      </c>
      <c r="B755" s="5" t="s">
        <v>3920</v>
      </c>
    </row>
    <row r="756" spans="1:2" x14ac:dyDescent="0.25">
      <c r="A756" t="s">
        <v>65</v>
      </c>
      <c r="B756" s="5" t="s">
        <v>3884</v>
      </c>
    </row>
    <row r="757" spans="1:2" x14ac:dyDescent="0.25">
      <c r="A757" t="s">
        <v>67</v>
      </c>
      <c r="B757" s="5" t="s">
        <v>3870</v>
      </c>
    </row>
    <row r="758" spans="1:2" x14ac:dyDescent="0.25">
      <c r="A758" t="s">
        <v>69</v>
      </c>
      <c r="B758" s="5" t="s">
        <v>3901</v>
      </c>
    </row>
    <row r="759" spans="1:2" x14ac:dyDescent="0.25">
      <c r="A759" t="s">
        <v>71</v>
      </c>
      <c r="B759" s="5" t="s">
        <v>3894</v>
      </c>
    </row>
    <row r="760" spans="1:2" x14ac:dyDescent="0.25">
      <c r="A760" t="s">
        <v>73</v>
      </c>
      <c r="B760" s="5" t="s">
        <v>3936</v>
      </c>
    </row>
    <row r="761" spans="1:2" x14ac:dyDescent="0.25">
      <c r="A761" t="s">
        <v>75</v>
      </c>
      <c r="B761" s="5" t="s">
        <v>3939</v>
      </c>
    </row>
    <row r="762" spans="1:2" x14ac:dyDescent="0.25">
      <c r="A762" t="s">
        <v>77</v>
      </c>
      <c r="B762" s="5" t="s">
        <v>3894</v>
      </c>
    </row>
    <row r="763" spans="1:2" x14ac:dyDescent="0.25">
      <c r="A763" t="s">
        <v>79</v>
      </c>
      <c r="B763" s="5" t="s">
        <v>3878</v>
      </c>
    </row>
    <row r="764" spans="1:2" x14ac:dyDescent="0.25">
      <c r="A764" t="s">
        <v>81</v>
      </c>
      <c r="B764" s="5" t="s">
        <v>3922</v>
      </c>
    </row>
    <row r="765" spans="1:2" x14ac:dyDescent="0.25">
      <c r="A765" t="s">
        <v>83</v>
      </c>
      <c r="B765" s="5" t="s">
        <v>3949</v>
      </c>
    </row>
    <row r="766" spans="1:2" x14ac:dyDescent="0.25">
      <c r="A766" t="s">
        <v>85</v>
      </c>
      <c r="B766" s="5" t="s">
        <v>3878</v>
      </c>
    </row>
    <row r="767" spans="1:2" x14ac:dyDescent="0.25">
      <c r="A767" t="s">
        <v>87</v>
      </c>
      <c r="B767" s="5" t="s">
        <v>3878</v>
      </c>
    </row>
    <row r="768" spans="1:2" x14ac:dyDescent="0.25">
      <c r="A768" t="s">
        <v>89</v>
      </c>
      <c r="B768" s="5" t="s">
        <v>3949</v>
      </c>
    </row>
    <row r="769" spans="1:2" x14ac:dyDescent="0.25">
      <c r="A769" t="s">
        <v>91</v>
      </c>
      <c r="B769" s="5" t="s">
        <v>3922</v>
      </c>
    </row>
    <row r="770" spans="1:2" x14ac:dyDescent="0.25">
      <c r="A770" t="s">
        <v>93</v>
      </c>
      <c r="B770" s="5" t="s">
        <v>3949</v>
      </c>
    </row>
    <row r="771" spans="1:2" x14ac:dyDescent="0.25">
      <c r="A771" t="s">
        <v>95</v>
      </c>
      <c r="B771" s="5" t="s">
        <v>3949</v>
      </c>
    </row>
    <row r="772" spans="1:2" x14ac:dyDescent="0.25">
      <c r="A772" t="s">
        <v>97</v>
      </c>
      <c r="B772" s="5" t="s">
        <v>3949</v>
      </c>
    </row>
    <row r="773" spans="1:2" x14ac:dyDescent="0.25">
      <c r="A773" t="s">
        <v>99</v>
      </c>
      <c r="B773" s="5" t="s">
        <v>3894</v>
      </c>
    </row>
    <row r="774" spans="1:2" x14ac:dyDescent="0.25">
      <c r="A774" t="s">
        <v>100</v>
      </c>
      <c r="B774" s="5" t="s">
        <v>3949</v>
      </c>
    </row>
    <row r="775" spans="1:2" x14ac:dyDescent="0.25">
      <c r="A775" t="s">
        <v>102</v>
      </c>
      <c r="B775" s="5" t="s">
        <v>3949</v>
      </c>
    </row>
    <row r="776" spans="1:2" x14ac:dyDescent="0.25">
      <c r="A776" t="s">
        <v>104</v>
      </c>
      <c r="B776" s="5" t="s">
        <v>3878</v>
      </c>
    </row>
    <row r="777" spans="1:2" x14ac:dyDescent="0.25">
      <c r="A777" t="s">
        <v>106</v>
      </c>
      <c r="B777" s="5" t="s">
        <v>3878</v>
      </c>
    </row>
    <row r="778" spans="1:2" x14ac:dyDescent="0.25">
      <c r="A778" t="s">
        <v>108</v>
      </c>
      <c r="B778" s="5" t="s">
        <v>3949</v>
      </c>
    </row>
    <row r="779" spans="1:2" x14ac:dyDescent="0.25">
      <c r="A779" t="s">
        <v>110</v>
      </c>
      <c r="B779" s="5" t="s">
        <v>3974</v>
      </c>
    </row>
    <row r="780" spans="1:2" x14ac:dyDescent="0.25">
      <c r="A780" t="s">
        <v>112</v>
      </c>
      <c r="B780" s="5" t="s">
        <v>3977</v>
      </c>
    </row>
    <row r="781" spans="1:2" x14ac:dyDescent="0.25">
      <c r="A781" t="s">
        <v>114</v>
      </c>
      <c r="B781" s="5" t="s">
        <v>3977</v>
      </c>
    </row>
    <row r="782" spans="1:2" x14ac:dyDescent="0.25">
      <c r="A782" t="s">
        <v>116</v>
      </c>
      <c r="B782" s="5" t="s">
        <v>3977</v>
      </c>
    </row>
    <row r="783" spans="1:2" x14ac:dyDescent="0.25">
      <c r="A783" t="s">
        <v>118</v>
      </c>
      <c r="B783" s="5" t="s">
        <v>3870</v>
      </c>
    </row>
    <row r="784" spans="1:2" x14ac:dyDescent="0.25">
      <c r="A784" t="s">
        <v>120</v>
      </c>
      <c r="B784" s="5" t="s">
        <v>3884</v>
      </c>
    </row>
    <row r="785" spans="1:2" x14ac:dyDescent="0.25">
      <c r="A785" t="s">
        <v>122</v>
      </c>
      <c r="B785" s="5" t="s">
        <v>3894</v>
      </c>
    </row>
    <row r="786" spans="1:2" x14ac:dyDescent="0.25">
      <c r="A786" t="s">
        <v>124</v>
      </c>
      <c r="B786" s="5" t="s">
        <v>3894</v>
      </c>
    </row>
    <row r="787" spans="1:2" x14ac:dyDescent="0.25">
      <c r="A787" t="s">
        <v>126</v>
      </c>
      <c r="B787" s="5" t="s">
        <v>3991</v>
      </c>
    </row>
    <row r="788" spans="1:2" x14ac:dyDescent="0.25">
      <c r="A788" t="s">
        <v>128</v>
      </c>
      <c r="B788" s="5" t="s">
        <v>3991</v>
      </c>
    </row>
    <row r="789" spans="1:2" x14ac:dyDescent="0.25">
      <c r="A789" t="s">
        <v>130</v>
      </c>
      <c r="B789" s="5" t="s">
        <v>3977</v>
      </c>
    </row>
    <row r="790" spans="1:2" x14ac:dyDescent="0.25">
      <c r="A790" t="s">
        <v>132</v>
      </c>
      <c r="B790" s="5" t="s">
        <v>3977</v>
      </c>
    </row>
    <row r="791" spans="1:2" x14ac:dyDescent="0.25">
      <c r="A791" t="s">
        <v>133</v>
      </c>
      <c r="B791" s="5" t="s">
        <v>3977</v>
      </c>
    </row>
    <row r="792" spans="1:2" x14ac:dyDescent="0.25">
      <c r="A792" t="s">
        <v>135</v>
      </c>
      <c r="B792" s="5" t="s">
        <v>3884</v>
      </c>
    </row>
    <row r="793" spans="1:2" x14ac:dyDescent="0.25">
      <c r="A793" t="s">
        <v>137</v>
      </c>
      <c r="B793" s="5" t="s">
        <v>4004</v>
      </c>
    </row>
    <row r="794" spans="1:2" x14ac:dyDescent="0.25">
      <c r="A794" t="s">
        <v>139</v>
      </c>
      <c r="B794" s="5" t="s">
        <v>3878</v>
      </c>
    </row>
    <row r="795" spans="1:2" x14ac:dyDescent="0.25">
      <c r="A795" t="s">
        <v>141</v>
      </c>
      <c r="B795" s="5" t="s">
        <v>4004</v>
      </c>
    </row>
    <row r="796" spans="1:2" x14ac:dyDescent="0.25">
      <c r="A796" t="s">
        <v>143</v>
      </c>
      <c r="B796" s="5" t="s">
        <v>3878</v>
      </c>
    </row>
    <row r="797" spans="1:2" x14ac:dyDescent="0.25">
      <c r="A797" t="s">
        <v>145</v>
      </c>
      <c r="B797" s="5" t="s">
        <v>3870</v>
      </c>
    </row>
    <row r="798" spans="1:2" x14ac:dyDescent="0.25">
      <c r="A798" t="s">
        <v>147</v>
      </c>
      <c r="B798" s="5" t="s">
        <v>3870</v>
      </c>
    </row>
    <row r="799" spans="1:2" x14ac:dyDescent="0.25">
      <c r="A799" t="s">
        <v>149</v>
      </c>
      <c r="B799" s="5" t="s">
        <v>3870</v>
      </c>
    </row>
    <row r="800" spans="1:2" x14ac:dyDescent="0.25">
      <c r="A800" t="s">
        <v>151</v>
      </c>
      <c r="B800" s="5" t="s">
        <v>4020</v>
      </c>
    </row>
    <row r="801" spans="1:2" x14ac:dyDescent="0.25">
      <c r="A801" t="s">
        <v>153</v>
      </c>
      <c r="B801" s="5" t="s">
        <v>4020</v>
      </c>
    </row>
    <row r="802" spans="1:2" x14ac:dyDescent="0.25">
      <c r="A802" t="s">
        <v>155</v>
      </c>
      <c r="B802" s="5" t="s">
        <v>3870</v>
      </c>
    </row>
    <row r="803" spans="1:2" x14ac:dyDescent="0.25">
      <c r="A803" t="s">
        <v>157</v>
      </c>
      <c r="B803" s="5" t="s">
        <v>3870</v>
      </c>
    </row>
    <row r="804" spans="1:2" x14ac:dyDescent="0.25">
      <c r="A804" t="s">
        <v>159</v>
      </c>
      <c r="B804" s="5" t="s">
        <v>3870</v>
      </c>
    </row>
    <row r="805" spans="1:2" x14ac:dyDescent="0.25">
      <c r="A805" t="s">
        <v>161</v>
      </c>
      <c r="B805" s="5" t="s">
        <v>3870</v>
      </c>
    </row>
    <row r="806" spans="1:2" x14ac:dyDescent="0.25">
      <c r="A806" t="s">
        <v>163</v>
      </c>
      <c r="B806" s="5" t="s">
        <v>3870</v>
      </c>
    </row>
    <row r="807" spans="1:2" x14ac:dyDescent="0.25">
      <c r="A807" t="s">
        <v>165</v>
      </c>
      <c r="B807" s="5" t="s">
        <v>4033</v>
      </c>
    </row>
    <row r="808" spans="1:2" x14ac:dyDescent="0.25">
      <c r="A808" t="s">
        <v>167</v>
      </c>
      <c r="B808" s="5" t="s">
        <v>4033</v>
      </c>
    </row>
    <row r="809" spans="1:2" x14ac:dyDescent="0.25">
      <c r="A809" t="s">
        <v>169</v>
      </c>
      <c r="B809" s="5" t="s">
        <v>3878</v>
      </c>
    </row>
    <row r="810" spans="1:2" x14ac:dyDescent="0.25">
      <c r="A810" t="s">
        <v>171</v>
      </c>
      <c r="B810" s="5" t="s">
        <v>3878</v>
      </c>
    </row>
    <row r="811" spans="1:2" x14ac:dyDescent="0.25">
      <c r="A811" t="s">
        <v>173</v>
      </c>
      <c r="B811" s="5" t="s">
        <v>3878</v>
      </c>
    </row>
    <row r="812" spans="1:2" x14ac:dyDescent="0.25">
      <c r="A812" t="s">
        <v>175</v>
      </c>
      <c r="B812" s="5" t="s">
        <v>3949</v>
      </c>
    </row>
    <row r="813" spans="1:2" x14ac:dyDescent="0.25">
      <c r="A813" t="s">
        <v>177</v>
      </c>
      <c r="B813" s="5" t="s">
        <v>4043</v>
      </c>
    </row>
    <row r="814" spans="1:2" x14ac:dyDescent="0.25">
      <c r="A814" t="s">
        <v>179</v>
      </c>
      <c r="B814" s="5" t="s">
        <v>4043</v>
      </c>
    </row>
    <row r="815" spans="1:2" x14ac:dyDescent="0.25">
      <c r="A815" t="s">
        <v>181</v>
      </c>
      <c r="B815" s="5" t="s">
        <v>3878</v>
      </c>
    </row>
    <row r="816" spans="1:2" x14ac:dyDescent="0.25">
      <c r="A816" t="s">
        <v>182</v>
      </c>
      <c r="B816" s="5" t="s">
        <v>3949</v>
      </c>
    </row>
    <row r="817" spans="1:2" x14ac:dyDescent="0.25">
      <c r="A817" t="s">
        <v>184</v>
      </c>
      <c r="B817" s="5" t="s">
        <v>3949</v>
      </c>
    </row>
    <row r="818" spans="1:2" x14ac:dyDescent="0.25">
      <c r="A818" t="s">
        <v>186</v>
      </c>
      <c r="B818" s="5" t="s">
        <v>3878</v>
      </c>
    </row>
    <row r="819" spans="1:2" x14ac:dyDescent="0.25">
      <c r="A819" t="s">
        <v>188</v>
      </c>
      <c r="B819" s="5" t="s">
        <v>3870</v>
      </c>
    </row>
    <row r="820" spans="1:2" x14ac:dyDescent="0.25">
      <c r="A820" t="s">
        <v>190</v>
      </c>
      <c r="B820" s="5" t="s">
        <v>3894</v>
      </c>
    </row>
    <row r="821" spans="1:2" x14ac:dyDescent="0.25">
      <c r="A821" t="s">
        <v>191</v>
      </c>
      <c r="B821" s="5" t="s">
        <v>3894</v>
      </c>
    </row>
    <row r="822" spans="1:2" x14ac:dyDescent="0.25">
      <c r="A822" t="s">
        <v>193</v>
      </c>
      <c r="B822" s="5" t="s">
        <v>3894</v>
      </c>
    </row>
    <row r="823" spans="1:2" x14ac:dyDescent="0.25">
      <c r="A823" t="s">
        <v>195</v>
      </c>
      <c r="B823" s="5" t="s">
        <v>4067</v>
      </c>
    </row>
    <row r="824" spans="1:2" x14ac:dyDescent="0.25">
      <c r="A824" t="s">
        <v>197</v>
      </c>
      <c r="B824" s="5" t="s">
        <v>4004</v>
      </c>
    </row>
    <row r="825" spans="1:2" x14ac:dyDescent="0.25">
      <c r="A825" t="s">
        <v>199</v>
      </c>
      <c r="B825" s="5" t="s">
        <v>4004</v>
      </c>
    </row>
    <row r="826" spans="1:2" x14ac:dyDescent="0.25">
      <c r="A826" t="s">
        <v>201</v>
      </c>
      <c r="B826" s="5" t="s">
        <v>4004</v>
      </c>
    </row>
    <row r="827" spans="1:2" x14ac:dyDescent="0.25">
      <c r="A827" t="s">
        <v>203</v>
      </c>
      <c r="B827" s="5" t="s">
        <v>3878</v>
      </c>
    </row>
    <row r="828" spans="1:2" x14ac:dyDescent="0.25">
      <c r="A828" t="s">
        <v>204</v>
      </c>
      <c r="B828" s="5" t="s">
        <v>3977</v>
      </c>
    </row>
    <row r="829" spans="1:2" x14ac:dyDescent="0.25">
      <c r="A829" t="s">
        <v>206</v>
      </c>
      <c r="B829" s="5" t="s">
        <v>4067</v>
      </c>
    </row>
    <row r="830" spans="1:2" x14ac:dyDescent="0.25">
      <c r="A830" t="s">
        <v>208</v>
      </c>
      <c r="B830" s="5" t="s">
        <v>3878</v>
      </c>
    </row>
    <row r="831" spans="1:2" x14ac:dyDescent="0.25">
      <c r="A831" t="s">
        <v>210</v>
      </c>
      <c r="B831" s="5" t="s">
        <v>3878</v>
      </c>
    </row>
    <row r="832" spans="1:2" x14ac:dyDescent="0.25">
      <c r="A832" t="s">
        <v>212</v>
      </c>
      <c r="B832" s="5" t="s">
        <v>3878</v>
      </c>
    </row>
    <row r="833" spans="1:2" x14ac:dyDescent="0.25">
      <c r="A833" t="s">
        <v>214</v>
      </c>
      <c r="B833" s="5" t="s">
        <v>3878</v>
      </c>
    </row>
    <row r="834" spans="1:2" x14ac:dyDescent="0.25">
      <c r="A834" t="s">
        <v>216</v>
      </c>
      <c r="B834" s="5" t="s">
        <v>4004</v>
      </c>
    </row>
    <row r="835" spans="1:2" x14ac:dyDescent="0.25">
      <c r="A835" t="s">
        <v>218</v>
      </c>
      <c r="B835" s="5" t="s">
        <v>4004</v>
      </c>
    </row>
    <row r="836" spans="1:2" x14ac:dyDescent="0.25">
      <c r="A836" t="s">
        <v>220</v>
      </c>
      <c r="B836" s="5" t="s">
        <v>3894</v>
      </c>
    </row>
    <row r="837" spans="1:2" x14ac:dyDescent="0.25">
      <c r="A837" t="s">
        <v>6850</v>
      </c>
      <c r="B837" s="5" t="s">
        <v>3936</v>
      </c>
    </row>
    <row r="838" spans="1:2" x14ac:dyDescent="0.25">
      <c r="A838" t="s">
        <v>223</v>
      </c>
      <c r="B838" s="5" t="s">
        <v>4094</v>
      </c>
    </row>
    <row r="839" spans="1:2" x14ac:dyDescent="0.25">
      <c r="A839" t="s">
        <v>225</v>
      </c>
      <c r="B839" s="5" t="s">
        <v>3936</v>
      </c>
    </row>
    <row r="840" spans="1:2" x14ac:dyDescent="0.25">
      <c r="A840" t="s">
        <v>227</v>
      </c>
      <c r="B840" s="5" t="s">
        <v>3936</v>
      </c>
    </row>
    <row r="841" spans="1:2" x14ac:dyDescent="0.25">
      <c r="A841" t="s">
        <v>229</v>
      </c>
      <c r="B841" s="5" t="s">
        <v>3974</v>
      </c>
    </row>
    <row r="842" spans="1:2" x14ac:dyDescent="0.25">
      <c r="A842" t="s">
        <v>231</v>
      </c>
      <c r="B842" s="5" t="s">
        <v>3878</v>
      </c>
    </row>
    <row r="843" spans="1:2" x14ac:dyDescent="0.25">
      <c r="A843" t="s">
        <v>233</v>
      </c>
      <c r="B843" s="5" t="s">
        <v>3878</v>
      </c>
    </row>
    <row r="844" spans="1:2" x14ac:dyDescent="0.25">
      <c r="A844" t="s">
        <v>235</v>
      </c>
      <c r="B844" s="5" t="s">
        <v>3878</v>
      </c>
    </row>
    <row r="845" spans="1:2" x14ac:dyDescent="0.25">
      <c r="A845" t="s">
        <v>237</v>
      </c>
      <c r="B845" s="5" t="s">
        <v>3870</v>
      </c>
    </row>
    <row r="846" spans="1:2" x14ac:dyDescent="0.25">
      <c r="A846" t="s">
        <v>239</v>
      </c>
      <c r="B846" s="5" t="s">
        <v>3901</v>
      </c>
    </row>
    <row r="847" spans="1:2" x14ac:dyDescent="0.25">
      <c r="A847" t="s">
        <v>240</v>
      </c>
      <c r="B847" s="5" t="s">
        <v>3901</v>
      </c>
    </row>
    <row r="848" spans="1:2" x14ac:dyDescent="0.25">
      <c r="A848" t="s">
        <v>241</v>
      </c>
      <c r="B848" s="5" t="s">
        <v>3901</v>
      </c>
    </row>
    <row r="849" spans="1:2" x14ac:dyDescent="0.25">
      <c r="A849" t="s">
        <v>242</v>
      </c>
      <c r="B849" s="5" t="s">
        <v>3901</v>
      </c>
    </row>
    <row r="850" spans="1:2" x14ac:dyDescent="0.25">
      <c r="A850" t="s">
        <v>243</v>
      </c>
      <c r="B850" s="5" t="s">
        <v>3901</v>
      </c>
    </row>
    <row r="851" spans="1:2" x14ac:dyDescent="0.25">
      <c r="A851" t="s">
        <v>244</v>
      </c>
      <c r="B851" s="5" t="s">
        <v>3901</v>
      </c>
    </row>
    <row r="852" spans="1:2" x14ac:dyDescent="0.25">
      <c r="A852" t="s">
        <v>245</v>
      </c>
      <c r="B852" s="5" t="s">
        <v>3936</v>
      </c>
    </row>
    <row r="853" spans="1:2" x14ac:dyDescent="0.25">
      <c r="A853" t="s">
        <v>247</v>
      </c>
      <c r="B853" s="5" t="s">
        <v>3878</v>
      </c>
    </row>
    <row r="854" spans="1:2" x14ac:dyDescent="0.25">
      <c r="A854" t="s">
        <v>249</v>
      </c>
      <c r="B854" s="5" t="s">
        <v>3878</v>
      </c>
    </row>
    <row r="855" spans="1:2" x14ac:dyDescent="0.25">
      <c r="A855" t="s">
        <v>251</v>
      </c>
      <c r="B855" s="5" t="s">
        <v>4033</v>
      </c>
    </row>
    <row r="856" spans="1:2" x14ac:dyDescent="0.25">
      <c r="A856" t="s">
        <v>252</v>
      </c>
      <c r="B856" s="5" t="s">
        <v>3894</v>
      </c>
    </row>
    <row r="857" spans="1:2" x14ac:dyDescent="0.25">
      <c r="A857" t="s">
        <v>253</v>
      </c>
      <c r="B857" s="5" t="s">
        <v>3901</v>
      </c>
    </row>
    <row r="858" spans="1:2" x14ac:dyDescent="0.25">
      <c r="A858" t="s">
        <v>255</v>
      </c>
      <c r="B858" s="5" t="s">
        <v>3878</v>
      </c>
    </row>
    <row r="859" spans="1:2" x14ac:dyDescent="0.25">
      <c r="A859" t="s">
        <v>257</v>
      </c>
      <c r="B859" s="5" t="s">
        <v>4043</v>
      </c>
    </row>
    <row r="860" spans="1:2" x14ac:dyDescent="0.25">
      <c r="A860" t="s">
        <v>259</v>
      </c>
      <c r="B860" s="5" t="s">
        <v>4043</v>
      </c>
    </row>
    <row r="861" spans="1:2" x14ac:dyDescent="0.25">
      <c r="A861" t="s">
        <v>261</v>
      </c>
      <c r="B861" s="5" t="s">
        <v>3878</v>
      </c>
    </row>
    <row r="862" spans="1:2" x14ac:dyDescent="0.25">
      <c r="A862" t="s">
        <v>263</v>
      </c>
      <c r="B862" s="5" t="s">
        <v>3870</v>
      </c>
    </row>
    <row r="863" spans="1:2" x14ac:dyDescent="0.25">
      <c r="A863" t="s">
        <v>265</v>
      </c>
      <c r="B863" s="5" t="s">
        <v>3939</v>
      </c>
    </row>
    <row r="864" spans="1:2" x14ac:dyDescent="0.25">
      <c r="A864" t="s">
        <v>267</v>
      </c>
      <c r="B864" s="5" t="s">
        <v>3901</v>
      </c>
    </row>
    <row r="865" spans="1:2" x14ac:dyDescent="0.25">
      <c r="A865" t="s">
        <v>269</v>
      </c>
      <c r="B865" s="5" t="s">
        <v>3949</v>
      </c>
    </row>
    <row r="866" spans="1:2" x14ac:dyDescent="0.25">
      <c r="A866" t="s">
        <v>271</v>
      </c>
      <c r="B866" s="5" t="s">
        <v>3878</v>
      </c>
    </row>
    <row r="867" spans="1:2" x14ac:dyDescent="0.25">
      <c r="A867" t="s">
        <v>272</v>
      </c>
      <c r="B867" s="5" t="s">
        <v>4097</v>
      </c>
    </row>
    <row r="868" spans="1:2" x14ac:dyDescent="0.25">
      <c r="A868" t="s">
        <v>274</v>
      </c>
      <c r="B868" s="5" t="s">
        <v>4097</v>
      </c>
    </row>
    <row r="869" spans="1:2" x14ac:dyDescent="0.25">
      <c r="A869" t="s">
        <v>276</v>
      </c>
      <c r="B869" s="5" t="s">
        <v>4097</v>
      </c>
    </row>
    <row r="870" spans="1:2" x14ac:dyDescent="0.25">
      <c r="A870" t="s">
        <v>278</v>
      </c>
      <c r="B870" s="5" t="s">
        <v>3939</v>
      </c>
    </row>
    <row r="871" spans="1:2" x14ac:dyDescent="0.25">
      <c r="A871" t="s">
        <v>280</v>
      </c>
      <c r="B871" s="5" t="s">
        <v>3949</v>
      </c>
    </row>
    <row r="872" spans="1:2" x14ac:dyDescent="0.25">
      <c r="A872" t="s">
        <v>282</v>
      </c>
      <c r="B872" s="5" t="s">
        <v>3977</v>
      </c>
    </row>
    <row r="873" spans="1:2" x14ac:dyDescent="0.25">
      <c r="A873" t="s">
        <v>284</v>
      </c>
      <c r="B873" s="5" t="s">
        <v>3936</v>
      </c>
    </row>
    <row r="874" spans="1:2" x14ac:dyDescent="0.25">
      <c r="A874" t="s">
        <v>286</v>
      </c>
      <c r="B874" s="5" t="s">
        <v>4020</v>
      </c>
    </row>
    <row r="875" spans="1:2" x14ac:dyDescent="0.25">
      <c r="A875" t="s">
        <v>287</v>
      </c>
      <c r="B875" s="5" t="s">
        <v>3974</v>
      </c>
    </row>
    <row r="876" spans="1:2" x14ac:dyDescent="0.25">
      <c r="A876" t="s">
        <v>289</v>
      </c>
      <c r="B876" s="5" t="s">
        <v>3991</v>
      </c>
    </row>
    <row r="877" spans="1:2" x14ac:dyDescent="0.25">
      <c r="A877" t="s">
        <v>291</v>
      </c>
      <c r="B877" s="5" t="s">
        <v>3949</v>
      </c>
    </row>
    <row r="878" spans="1:2" x14ac:dyDescent="0.25">
      <c r="A878" t="s">
        <v>293</v>
      </c>
      <c r="B878" s="5" t="s">
        <v>3949</v>
      </c>
    </row>
    <row r="879" spans="1:2" x14ac:dyDescent="0.25">
      <c r="A879" t="s">
        <v>295</v>
      </c>
      <c r="B879" s="5" t="s">
        <v>3949</v>
      </c>
    </row>
    <row r="880" spans="1:2" x14ac:dyDescent="0.25">
      <c r="A880" t="s">
        <v>297</v>
      </c>
      <c r="B880" s="5" t="s">
        <v>3949</v>
      </c>
    </row>
    <row r="881" spans="1:2" x14ac:dyDescent="0.25">
      <c r="A881" t="s">
        <v>299</v>
      </c>
      <c r="B881" s="5" t="s">
        <v>4004</v>
      </c>
    </row>
    <row r="882" spans="1:2" x14ac:dyDescent="0.25">
      <c r="A882" t="s">
        <v>301</v>
      </c>
      <c r="B882" s="5" t="s">
        <v>3949</v>
      </c>
    </row>
    <row r="883" spans="1:2" x14ac:dyDescent="0.25">
      <c r="A883" t="s">
        <v>303</v>
      </c>
      <c r="B883" s="5" t="s">
        <v>3949</v>
      </c>
    </row>
    <row r="884" spans="1:2" x14ac:dyDescent="0.25">
      <c r="A884" t="s">
        <v>305</v>
      </c>
      <c r="B884" s="5" t="s">
        <v>3884</v>
      </c>
    </row>
    <row r="885" spans="1:2" x14ac:dyDescent="0.25">
      <c r="A885" t="s">
        <v>307</v>
      </c>
      <c r="B885" s="5" t="s">
        <v>4067</v>
      </c>
    </row>
    <row r="886" spans="1:2" x14ac:dyDescent="0.25">
      <c r="A886" t="s">
        <v>308</v>
      </c>
      <c r="B886" s="5" t="s">
        <v>4067</v>
      </c>
    </row>
    <row r="887" spans="1:2" x14ac:dyDescent="0.25">
      <c r="A887" t="s">
        <v>310</v>
      </c>
      <c r="B887" s="5" t="s">
        <v>3901</v>
      </c>
    </row>
    <row r="888" spans="1:2" x14ac:dyDescent="0.25">
      <c r="A888" t="s">
        <v>312</v>
      </c>
      <c r="B888" s="5" t="s">
        <v>3878</v>
      </c>
    </row>
    <row r="889" spans="1:2" x14ac:dyDescent="0.25">
      <c r="A889" t="s">
        <v>314</v>
      </c>
      <c r="B889" s="5" t="s">
        <v>3878</v>
      </c>
    </row>
    <row r="890" spans="1:2" x14ac:dyDescent="0.25">
      <c r="A890" t="s">
        <v>315</v>
      </c>
      <c r="B890" s="5" t="s">
        <v>3949</v>
      </c>
    </row>
    <row r="891" spans="1:2" x14ac:dyDescent="0.25">
      <c r="A891" t="s">
        <v>317</v>
      </c>
      <c r="B891" s="5" t="s">
        <v>3949</v>
      </c>
    </row>
    <row r="892" spans="1:2" x14ac:dyDescent="0.25">
      <c r="A892" t="s">
        <v>319</v>
      </c>
      <c r="B892" s="5" t="s">
        <v>3870</v>
      </c>
    </row>
    <row r="893" spans="1:2" x14ac:dyDescent="0.25">
      <c r="A893" t="s">
        <v>321</v>
      </c>
      <c r="B893" s="5" t="s">
        <v>3870</v>
      </c>
    </row>
    <row r="894" spans="1:2" x14ac:dyDescent="0.25">
      <c r="A894" t="s">
        <v>323</v>
      </c>
      <c r="B894" s="5" t="s">
        <v>4043</v>
      </c>
    </row>
    <row r="895" spans="1:2" x14ac:dyDescent="0.25">
      <c r="A895" t="s">
        <v>325</v>
      </c>
      <c r="B895" s="5" t="s">
        <v>3870</v>
      </c>
    </row>
    <row r="896" spans="1:2" x14ac:dyDescent="0.25">
      <c r="A896" t="s">
        <v>327</v>
      </c>
      <c r="B896" s="5" t="s">
        <v>3949</v>
      </c>
    </row>
    <row r="897" spans="1:2" x14ac:dyDescent="0.25">
      <c r="A897" t="s">
        <v>329</v>
      </c>
      <c r="B897" s="5" t="s">
        <v>3920</v>
      </c>
    </row>
    <row r="898" spans="1:2" x14ac:dyDescent="0.25">
      <c r="A898" t="s">
        <v>331</v>
      </c>
      <c r="B898" s="5" t="s">
        <v>3920</v>
      </c>
    </row>
    <row r="899" spans="1:2" x14ac:dyDescent="0.25">
      <c r="A899" t="s">
        <v>333</v>
      </c>
      <c r="B899" s="5" t="s">
        <v>3870</v>
      </c>
    </row>
    <row r="900" spans="1:2" x14ac:dyDescent="0.25">
      <c r="A900" t="s">
        <v>335</v>
      </c>
      <c r="B900" s="5" t="s">
        <v>3878</v>
      </c>
    </row>
    <row r="901" spans="1:2" x14ac:dyDescent="0.25">
      <c r="A901" t="s">
        <v>337</v>
      </c>
      <c r="B901" s="5" t="s">
        <v>3878</v>
      </c>
    </row>
    <row r="902" spans="1:2" x14ac:dyDescent="0.25">
      <c r="A902" t="s">
        <v>339</v>
      </c>
      <c r="B902" s="5" t="s">
        <v>3870</v>
      </c>
    </row>
    <row r="903" spans="1:2" x14ac:dyDescent="0.25">
      <c r="A903" t="s">
        <v>341</v>
      </c>
      <c r="B903" s="5" t="s">
        <v>3870</v>
      </c>
    </row>
    <row r="904" spans="1:2" x14ac:dyDescent="0.25">
      <c r="A904" t="s">
        <v>343</v>
      </c>
      <c r="B904" s="5" t="s">
        <v>4067</v>
      </c>
    </row>
    <row r="905" spans="1:2" x14ac:dyDescent="0.25">
      <c r="A905" t="s">
        <v>345</v>
      </c>
      <c r="B905" s="5" t="s">
        <v>4067</v>
      </c>
    </row>
    <row r="906" spans="1:2" x14ac:dyDescent="0.25">
      <c r="A906" t="s">
        <v>347</v>
      </c>
      <c r="B906" s="5" t="s">
        <v>3878</v>
      </c>
    </row>
    <row r="907" spans="1:2" x14ac:dyDescent="0.25">
      <c r="A907" t="s">
        <v>349</v>
      </c>
      <c r="B907" s="5" t="s">
        <v>3878</v>
      </c>
    </row>
    <row r="908" spans="1:2" x14ac:dyDescent="0.25">
      <c r="A908" t="s">
        <v>351</v>
      </c>
      <c r="B908" s="5" t="s">
        <v>3878</v>
      </c>
    </row>
    <row r="909" spans="1:2" x14ac:dyDescent="0.25">
      <c r="A909" t="s">
        <v>352</v>
      </c>
      <c r="B909" s="5" t="s">
        <v>3878</v>
      </c>
    </row>
    <row r="910" spans="1:2" x14ac:dyDescent="0.25">
      <c r="A910" t="s">
        <v>354</v>
      </c>
      <c r="B910" s="5" t="s">
        <v>3977</v>
      </c>
    </row>
    <row r="911" spans="1:2" x14ac:dyDescent="0.25">
      <c r="A911" t="s">
        <v>356</v>
      </c>
      <c r="B911" s="5" t="s">
        <v>3977</v>
      </c>
    </row>
    <row r="912" spans="1:2" x14ac:dyDescent="0.25">
      <c r="A912" t="s">
        <v>358</v>
      </c>
      <c r="B912" s="5" t="s">
        <v>3977</v>
      </c>
    </row>
    <row r="913" spans="1:2" x14ac:dyDescent="0.25">
      <c r="A913" t="s">
        <v>360</v>
      </c>
      <c r="B913" s="5" t="s">
        <v>3870</v>
      </c>
    </row>
    <row r="914" spans="1:2" x14ac:dyDescent="0.25">
      <c r="A914" t="s">
        <v>362</v>
      </c>
      <c r="B914" s="5" t="s">
        <v>3878</v>
      </c>
    </row>
    <row r="915" spans="1:2" x14ac:dyDescent="0.25">
      <c r="A915" t="s">
        <v>364</v>
      </c>
      <c r="B915" s="5" t="s">
        <v>3878</v>
      </c>
    </row>
    <row r="916" spans="1:2" x14ac:dyDescent="0.25">
      <c r="A916" t="s">
        <v>366</v>
      </c>
      <c r="B916" s="5" t="s">
        <v>3991</v>
      </c>
    </row>
    <row r="917" spans="1:2" x14ac:dyDescent="0.25">
      <c r="A917" t="s">
        <v>368</v>
      </c>
      <c r="B917" s="5" t="s">
        <v>4043</v>
      </c>
    </row>
    <row r="918" spans="1:2" x14ac:dyDescent="0.25">
      <c r="A918" t="s">
        <v>370</v>
      </c>
      <c r="B918" s="5" t="s">
        <v>4043</v>
      </c>
    </row>
    <row r="919" spans="1:2" x14ac:dyDescent="0.25">
      <c r="A919" t="s">
        <v>372</v>
      </c>
      <c r="B919" s="5" t="s">
        <v>3870</v>
      </c>
    </row>
    <row r="920" spans="1:2" x14ac:dyDescent="0.25">
      <c r="A920" t="s">
        <v>374</v>
      </c>
      <c r="B920" s="5" t="s">
        <v>3870</v>
      </c>
    </row>
    <row r="921" spans="1:2" x14ac:dyDescent="0.25">
      <c r="A921" t="s">
        <v>376</v>
      </c>
      <c r="B921" s="5" t="s">
        <v>3870</v>
      </c>
    </row>
    <row r="922" spans="1:2" x14ac:dyDescent="0.25">
      <c r="A922" t="s">
        <v>378</v>
      </c>
      <c r="B922" s="5" t="s">
        <v>3894</v>
      </c>
    </row>
    <row r="923" spans="1:2" x14ac:dyDescent="0.25">
      <c r="A923" t="s">
        <v>380</v>
      </c>
      <c r="B923" s="5" t="s">
        <v>3894</v>
      </c>
    </row>
    <row r="924" spans="1:2" x14ac:dyDescent="0.25">
      <c r="A924" t="s">
        <v>382</v>
      </c>
      <c r="B924" s="5" t="s">
        <v>3878</v>
      </c>
    </row>
    <row r="925" spans="1:2" x14ac:dyDescent="0.25">
      <c r="A925" t="s">
        <v>384</v>
      </c>
      <c r="B925" s="5" t="s">
        <v>3878</v>
      </c>
    </row>
    <row r="926" spans="1:2" x14ac:dyDescent="0.25">
      <c r="A926" t="s">
        <v>386</v>
      </c>
      <c r="B926" s="5" t="s">
        <v>3878</v>
      </c>
    </row>
    <row r="927" spans="1:2" x14ac:dyDescent="0.25">
      <c r="A927" t="s">
        <v>388</v>
      </c>
      <c r="B927" s="5" t="s">
        <v>4097</v>
      </c>
    </row>
    <row r="928" spans="1:2" x14ac:dyDescent="0.25">
      <c r="A928" t="s">
        <v>390</v>
      </c>
      <c r="B928" s="5" t="s">
        <v>4097</v>
      </c>
    </row>
    <row r="929" spans="1:2" x14ac:dyDescent="0.25">
      <c r="A929" t="s">
        <v>392</v>
      </c>
      <c r="B929" s="5" t="s">
        <v>3878</v>
      </c>
    </row>
    <row r="930" spans="1:2" x14ac:dyDescent="0.25">
      <c r="A930" t="s">
        <v>394</v>
      </c>
      <c r="B930" s="5" t="s">
        <v>3878</v>
      </c>
    </row>
    <row r="931" spans="1:2" x14ac:dyDescent="0.25">
      <c r="A931" t="s">
        <v>396</v>
      </c>
      <c r="B931" s="5" t="s">
        <v>3870</v>
      </c>
    </row>
    <row r="932" spans="1:2" x14ac:dyDescent="0.25">
      <c r="A932" t="s">
        <v>398</v>
      </c>
      <c r="B932" s="5" t="s">
        <v>3878</v>
      </c>
    </row>
    <row r="933" spans="1:2" x14ac:dyDescent="0.25">
      <c r="A933" t="s">
        <v>400</v>
      </c>
      <c r="B933" s="5" t="s">
        <v>3878</v>
      </c>
    </row>
    <row r="934" spans="1:2" x14ac:dyDescent="0.25">
      <c r="A934" t="s">
        <v>402</v>
      </c>
      <c r="B934" s="5" t="s">
        <v>3870</v>
      </c>
    </row>
    <row r="935" spans="1:2" x14ac:dyDescent="0.25">
      <c r="A935" t="s">
        <v>404</v>
      </c>
      <c r="B935" s="5" t="s">
        <v>3949</v>
      </c>
    </row>
    <row r="936" spans="1:2" x14ac:dyDescent="0.25">
      <c r="A936" t="s">
        <v>406</v>
      </c>
      <c r="B936" s="5" t="s">
        <v>3949</v>
      </c>
    </row>
    <row r="937" spans="1:2" x14ac:dyDescent="0.25">
      <c r="A937" t="s">
        <v>408</v>
      </c>
      <c r="B937" s="5" t="s">
        <v>3949</v>
      </c>
    </row>
    <row r="938" spans="1:2" x14ac:dyDescent="0.25">
      <c r="A938" t="s">
        <v>410</v>
      </c>
      <c r="B938" s="5" t="s">
        <v>3949</v>
      </c>
    </row>
    <row r="939" spans="1:2" x14ac:dyDescent="0.25">
      <c r="A939" t="s">
        <v>412</v>
      </c>
      <c r="B939" s="5" t="s">
        <v>3878</v>
      </c>
    </row>
    <row r="940" spans="1:2" x14ac:dyDescent="0.25">
      <c r="A940" t="s">
        <v>414</v>
      </c>
      <c r="B940" s="5" t="s">
        <v>3878</v>
      </c>
    </row>
    <row r="941" spans="1:2" x14ac:dyDescent="0.25">
      <c r="A941" t="s">
        <v>415</v>
      </c>
      <c r="B941" s="5" t="s">
        <v>3878</v>
      </c>
    </row>
    <row r="942" spans="1:2" x14ac:dyDescent="0.25">
      <c r="A942" t="s">
        <v>417</v>
      </c>
      <c r="B942" s="5" t="s">
        <v>3878</v>
      </c>
    </row>
    <row r="943" spans="1:2" x14ac:dyDescent="0.25">
      <c r="A943" t="s">
        <v>419</v>
      </c>
      <c r="B943" s="5" t="s">
        <v>3884</v>
      </c>
    </row>
    <row r="944" spans="1:2" x14ac:dyDescent="0.25">
      <c r="A944" t="s">
        <v>421</v>
      </c>
      <c r="B944" s="5" t="s">
        <v>4284</v>
      </c>
    </row>
    <row r="945" spans="1:2" x14ac:dyDescent="0.25">
      <c r="A945" t="s">
        <v>423</v>
      </c>
      <c r="B945" s="5" t="s">
        <v>4284</v>
      </c>
    </row>
    <row r="946" spans="1:2" x14ac:dyDescent="0.25">
      <c r="A946" t="s">
        <v>425</v>
      </c>
      <c r="B946" s="5" t="s">
        <v>3884</v>
      </c>
    </row>
    <row r="947" spans="1:2" x14ac:dyDescent="0.25">
      <c r="A947" t="s">
        <v>427</v>
      </c>
      <c r="B947" s="5" t="s">
        <v>3884</v>
      </c>
    </row>
    <row r="948" spans="1:2" x14ac:dyDescent="0.25">
      <c r="A948" t="s">
        <v>429</v>
      </c>
      <c r="B948" s="5" t="s">
        <v>3884</v>
      </c>
    </row>
    <row r="949" spans="1:2" x14ac:dyDescent="0.25">
      <c r="A949" t="s">
        <v>431</v>
      </c>
      <c r="B949" s="5" t="s">
        <v>3884</v>
      </c>
    </row>
    <row r="950" spans="1:2" x14ac:dyDescent="0.25">
      <c r="A950" t="s">
        <v>433</v>
      </c>
      <c r="B950" s="5" t="s">
        <v>4291</v>
      </c>
    </row>
    <row r="951" spans="1:2" x14ac:dyDescent="0.25">
      <c r="A951" t="s">
        <v>435</v>
      </c>
      <c r="B951" s="5" t="s">
        <v>3878</v>
      </c>
    </row>
    <row r="952" spans="1:2" x14ac:dyDescent="0.25">
      <c r="A952" t="s">
        <v>437</v>
      </c>
      <c r="B952" s="5" t="s">
        <v>3884</v>
      </c>
    </row>
    <row r="953" spans="1:2" x14ac:dyDescent="0.25">
      <c r="A953" t="s">
        <v>439</v>
      </c>
      <c r="B953" s="5" t="s">
        <v>4291</v>
      </c>
    </row>
    <row r="954" spans="1:2" x14ac:dyDescent="0.25">
      <c r="A954" t="s">
        <v>441</v>
      </c>
      <c r="B954" s="5" t="s">
        <v>3901</v>
      </c>
    </row>
    <row r="955" spans="1:2" x14ac:dyDescent="0.25">
      <c r="A955" t="s">
        <v>443</v>
      </c>
      <c r="B955" s="5" t="s">
        <v>3901</v>
      </c>
    </row>
    <row r="956" spans="1:2" x14ac:dyDescent="0.25">
      <c r="A956" t="s">
        <v>445</v>
      </c>
      <c r="B956" s="5" t="s">
        <v>3901</v>
      </c>
    </row>
    <row r="957" spans="1:2" x14ac:dyDescent="0.25">
      <c r="A957" t="s">
        <v>447</v>
      </c>
      <c r="B957" s="5" t="s">
        <v>3870</v>
      </c>
    </row>
    <row r="958" spans="1:2" x14ac:dyDescent="0.25">
      <c r="A958" t="s">
        <v>449</v>
      </c>
      <c r="B958" s="5" t="s">
        <v>4291</v>
      </c>
    </row>
    <row r="959" spans="1:2" x14ac:dyDescent="0.25">
      <c r="A959" t="s">
        <v>451</v>
      </c>
      <c r="B959" s="5" t="s">
        <v>4291</v>
      </c>
    </row>
    <row r="960" spans="1:2" x14ac:dyDescent="0.25">
      <c r="A960" t="s">
        <v>453</v>
      </c>
      <c r="B960" s="5" t="s">
        <v>3870</v>
      </c>
    </row>
    <row r="961" spans="1:2" x14ac:dyDescent="0.25">
      <c r="A961" t="s">
        <v>455</v>
      </c>
      <c r="B961" s="5" t="s">
        <v>3870</v>
      </c>
    </row>
    <row r="962" spans="1:2" x14ac:dyDescent="0.25">
      <c r="A962" t="s">
        <v>457</v>
      </c>
      <c r="B962" s="5" t="s">
        <v>3870</v>
      </c>
    </row>
    <row r="963" spans="1:2" x14ac:dyDescent="0.25">
      <c r="A963" t="s">
        <v>459</v>
      </c>
      <c r="B963" s="5" t="s">
        <v>3878</v>
      </c>
    </row>
    <row r="964" spans="1:2" x14ac:dyDescent="0.25">
      <c r="A964" t="s">
        <v>461</v>
      </c>
      <c r="B964" s="5" t="s">
        <v>3870</v>
      </c>
    </row>
    <row r="965" spans="1:2" x14ac:dyDescent="0.25">
      <c r="A965" t="s">
        <v>463</v>
      </c>
      <c r="B965" s="5" t="s">
        <v>3922</v>
      </c>
    </row>
    <row r="966" spans="1:2" x14ac:dyDescent="0.25">
      <c r="A966" t="s">
        <v>464</v>
      </c>
      <c r="B966" s="5" t="s">
        <v>3878</v>
      </c>
    </row>
    <row r="967" spans="1:2" x14ac:dyDescent="0.25">
      <c r="A967" t="s">
        <v>466</v>
      </c>
      <c r="B967" s="5" t="s">
        <v>3939</v>
      </c>
    </row>
    <row r="968" spans="1:2" x14ac:dyDescent="0.25">
      <c r="A968" t="s">
        <v>468</v>
      </c>
      <c r="B968" s="5" t="s">
        <v>3939</v>
      </c>
    </row>
    <row r="969" spans="1:2" x14ac:dyDescent="0.25">
      <c r="A969" t="s">
        <v>470</v>
      </c>
      <c r="B969" s="5" t="s">
        <v>3870</v>
      </c>
    </row>
    <row r="970" spans="1:2" x14ac:dyDescent="0.25">
      <c r="A970" t="s">
        <v>472</v>
      </c>
      <c r="B970" s="5" t="s">
        <v>4330</v>
      </c>
    </row>
    <row r="971" spans="1:2" x14ac:dyDescent="0.25">
      <c r="A971" t="s">
        <v>474</v>
      </c>
      <c r="B971" s="5" t="s">
        <v>3939</v>
      </c>
    </row>
    <row r="972" spans="1:2" x14ac:dyDescent="0.25">
      <c r="A972" t="s">
        <v>476</v>
      </c>
      <c r="B972" s="5" t="s">
        <v>3884</v>
      </c>
    </row>
    <row r="973" spans="1:2" x14ac:dyDescent="0.25">
      <c r="A973" t="s">
        <v>478</v>
      </c>
      <c r="B973" s="5" t="s">
        <v>4291</v>
      </c>
    </row>
    <row r="974" spans="1:2" x14ac:dyDescent="0.25">
      <c r="A974" t="s">
        <v>480</v>
      </c>
      <c r="B974" s="5" t="s">
        <v>3884</v>
      </c>
    </row>
    <row r="975" spans="1:2" x14ac:dyDescent="0.25">
      <c r="A975" t="s">
        <v>482</v>
      </c>
      <c r="B975" s="5" t="s">
        <v>3878</v>
      </c>
    </row>
    <row r="976" spans="1:2" x14ac:dyDescent="0.25">
      <c r="A976" t="s">
        <v>484</v>
      </c>
      <c r="B976" s="5" t="s">
        <v>3870</v>
      </c>
    </row>
    <row r="977" spans="1:2" x14ac:dyDescent="0.25">
      <c r="A977" t="s">
        <v>486</v>
      </c>
      <c r="B977" s="5" t="s">
        <v>4097</v>
      </c>
    </row>
    <row r="978" spans="1:2" x14ac:dyDescent="0.25">
      <c r="A978" t="s">
        <v>488</v>
      </c>
      <c r="B978" s="5" t="s">
        <v>4097</v>
      </c>
    </row>
    <row r="979" spans="1:2" x14ac:dyDescent="0.25">
      <c r="A979" t="s">
        <v>490</v>
      </c>
      <c r="B979" s="5" t="s">
        <v>4097</v>
      </c>
    </row>
    <row r="980" spans="1:2" x14ac:dyDescent="0.25">
      <c r="A980" t="s">
        <v>492</v>
      </c>
      <c r="B980" s="5" t="s">
        <v>3894</v>
      </c>
    </row>
    <row r="981" spans="1:2" x14ac:dyDescent="0.25">
      <c r="A981" t="s">
        <v>494</v>
      </c>
      <c r="B981" s="5" t="s">
        <v>3894</v>
      </c>
    </row>
    <row r="982" spans="1:2" x14ac:dyDescent="0.25">
      <c r="A982" t="s">
        <v>496</v>
      </c>
      <c r="B982" s="5" t="s">
        <v>3870</v>
      </c>
    </row>
    <row r="983" spans="1:2" x14ac:dyDescent="0.25">
      <c r="A983" t="s">
        <v>498</v>
      </c>
      <c r="B983" s="5" t="s">
        <v>4284</v>
      </c>
    </row>
    <row r="984" spans="1:2" x14ac:dyDescent="0.25">
      <c r="A984" t="s">
        <v>500</v>
      </c>
      <c r="B984" s="5" t="s">
        <v>3870</v>
      </c>
    </row>
    <row r="985" spans="1:2" x14ac:dyDescent="0.25">
      <c r="A985" t="s">
        <v>502</v>
      </c>
      <c r="B985" s="5" t="s">
        <v>3870</v>
      </c>
    </row>
    <row r="986" spans="1:2" x14ac:dyDescent="0.25">
      <c r="A986" t="s">
        <v>504</v>
      </c>
      <c r="B986" s="5" t="s">
        <v>3870</v>
      </c>
    </row>
    <row r="987" spans="1:2" x14ac:dyDescent="0.25">
      <c r="A987" t="s">
        <v>506</v>
      </c>
      <c r="B987" s="5" t="s">
        <v>3870</v>
      </c>
    </row>
    <row r="988" spans="1:2" x14ac:dyDescent="0.25">
      <c r="A988" t="s">
        <v>508</v>
      </c>
      <c r="B988" s="5" t="s">
        <v>3870</v>
      </c>
    </row>
    <row r="989" spans="1:2" x14ac:dyDescent="0.25">
      <c r="A989" t="s">
        <v>510</v>
      </c>
      <c r="B989" s="5" t="s">
        <v>4291</v>
      </c>
    </row>
    <row r="990" spans="1:2" x14ac:dyDescent="0.25">
      <c r="A990" t="s">
        <v>512</v>
      </c>
      <c r="B990" s="5" t="s">
        <v>3977</v>
      </c>
    </row>
    <row r="991" spans="1:2" x14ac:dyDescent="0.25">
      <c r="A991" t="s">
        <v>514</v>
      </c>
      <c r="B991" s="5" t="s">
        <v>3977</v>
      </c>
    </row>
    <row r="992" spans="1:2" x14ac:dyDescent="0.25">
      <c r="A992" t="s">
        <v>516</v>
      </c>
      <c r="B992" s="5" t="s">
        <v>4330</v>
      </c>
    </row>
    <row r="993" spans="1:2" x14ac:dyDescent="0.25">
      <c r="A993" t="s">
        <v>518</v>
      </c>
      <c r="B993" s="5" t="s">
        <v>3884</v>
      </c>
    </row>
    <row r="994" spans="1:2" x14ac:dyDescent="0.25">
      <c r="A994" t="s">
        <v>520</v>
      </c>
      <c r="B994" s="5" t="s">
        <v>3884</v>
      </c>
    </row>
    <row r="995" spans="1:2" x14ac:dyDescent="0.25">
      <c r="A995" t="s">
        <v>522</v>
      </c>
      <c r="B995" s="5" t="s">
        <v>4392</v>
      </c>
    </row>
    <row r="996" spans="1:2" x14ac:dyDescent="0.25">
      <c r="A996" t="s">
        <v>524</v>
      </c>
      <c r="B996" s="5" t="s">
        <v>3949</v>
      </c>
    </row>
    <row r="997" spans="1:2" x14ac:dyDescent="0.25">
      <c r="A997" t="s">
        <v>526</v>
      </c>
      <c r="B997" s="5" t="s">
        <v>4291</v>
      </c>
    </row>
    <row r="998" spans="1:2" x14ac:dyDescent="0.25">
      <c r="A998" t="s">
        <v>527</v>
      </c>
      <c r="B998" s="5" t="s">
        <v>3870</v>
      </c>
    </row>
    <row r="999" spans="1:2" x14ac:dyDescent="0.25">
      <c r="A999" t="s">
        <v>529</v>
      </c>
      <c r="B999" s="5" t="s">
        <v>3870</v>
      </c>
    </row>
    <row r="1000" spans="1:2" x14ac:dyDescent="0.25">
      <c r="A1000" t="s">
        <v>531</v>
      </c>
      <c r="B1000" s="5" t="s">
        <v>4291</v>
      </c>
    </row>
    <row r="1001" spans="1:2" x14ac:dyDescent="0.25">
      <c r="A1001" t="s">
        <v>532</v>
      </c>
      <c r="B1001" s="5" t="s">
        <v>4291</v>
      </c>
    </row>
    <row r="1002" spans="1:2" x14ac:dyDescent="0.25">
      <c r="A1002" t="s">
        <v>534</v>
      </c>
      <c r="B1002" s="5" t="s">
        <v>4413</v>
      </c>
    </row>
    <row r="1003" spans="1:2" x14ac:dyDescent="0.25">
      <c r="A1003" t="s">
        <v>536</v>
      </c>
      <c r="B1003" s="5" t="s">
        <v>3870</v>
      </c>
    </row>
    <row r="1004" spans="1:2" x14ac:dyDescent="0.25">
      <c r="A1004" t="s">
        <v>538</v>
      </c>
      <c r="B1004" s="5" t="s">
        <v>3894</v>
      </c>
    </row>
    <row r="1005" spans="1:2" x14ac:dyDescent="0.25">
      <c r="A1005" t="s">
        <v>540</v>
      </c>
      <c r="B1005" s="5" t="s">
        <v>3878</v>
      </c>
    </row>
    <row r="1006" spans="1:2" x14ac:dyDescent="0.25">
      <c r="A1006" t="s">
        <v>542</v>
      </c>
      <c r="B1006" s="5" t="s">
        <v>4413</v>
      </c>
    </row>
    <row r="1007" spans="1:2" x14ac:dyDescent="0.25">
      <c r="A1007" t="s">
        <v>543</v>
      </c>
      <c r="B1007" s="5" t="s">
        <v>4413</v>
      </c>
    </row>
    <row r="1008" spans="1:2" x14ac:dyDescent="0.25">
      <c r="A1008" t="s">
        <v>545</v>
      </c>
      <c r="B1008" s="5" t="s">
        <v>4413</v>
      </c>
    </row>
    <row r="1009" spans="1:2" x14ac:dyDescent="0.25">
      <c r="A1009" t="s">
        <v>547</v>
      </c>
      <c r="B1009" s="5" t="s">
        <v>3977</v>
      </c>
    </row>
    <row r="1010" spans="1:2" x14ac:dyDescent="0.25">
      <c r="A1010" t="s">
        <v>549</v>
      </c>
      <c r="B1010" s="5" t="s">
        <v>3884</v>
      </c>
    </row>
    <row r="1011" spans="1:2" x14ac:dyDescent="0.25">
      <c r="A1011" t="s">
        <v>551</v>
      </c>
      <c r="B1011" s="5" t="s">
        <v>4413</v>
      </c>
    </row>
    <row r="1012" spans="1:2" x14ac:dyDescent="0.25">
      <c r="A1012" t="s">
        <v>553</v>
      </c>
      <c r="B1012" s="5" t="s">
        <v>3878</v>
      </c>
    </row>
    <row r="1013" spans="1:2" x14ac:dyDescent="0.25">
      <c r="A1013" t="s">
        <v>555</v>
      </c>
      <c r="B1013" s="5" t="s">
        <v>3878</v>
      </c>
    </row>
    <row r="1014" spans="1:2" x14ac:dyDescent="0.25">
      <c r="A1014" t="s">
        <v>557</v>
      </c>
      <c r="B1014" s="5" t="s">
        <v>4440</v>
      </c>
    </row>
    <row r="1015" spans="1:2" x14ac:dyDescent="0.25">
      <c r="A1015" t="s">
        <v>558</v>
      </c>
      <c r="B1015" s="5" t="s">
        <v>4392</v>
      </c>
    </row>
    <row r="1016" spans="1:2" x14ac:dyDescent="0.25">
      <c r="A1016" t="s">
        <v>560</v>
      </c>
      <c r="B1016" s="5" t="s">
        <v>3870</v>
      </c>
    </row>
    <row r="1017" spans="1:2" x14ac:dyDescent="0.25">
      <c r="A1017" t="s">
        <v>562</v>
      </c>
      <c r="B1017" s="5" t="s">
        <v>4440</v>
      </c>
    </row>
    <row r="1018" spans="1:2" x14ac:dyDescent="0.25">
      <c r="A1018" t="s">
        <v>564</v>
      </c>
      <c r="B1018" s="5" t="s">
        <v>4330</v>
      </c>
    </row>
    <row r="1019" spans="1:2" x14ac:dyDescent="0.25">
      <c r="A1019" t="s">
        <v>565</v>
      </c>
      <c r="B1019" s="5" t="s">
        <v>4440</v>
      </c>
    </row>
    <row r="1020" spans="1:2" x14ac:dyDescent="0.25">
      <c r="A1020" t="s">
        <v>567</v>
      </c>
      <c r="B1020" s="5" t="s">
        <v>4440</v>
      </c>
    </row>
    <row r="1021" spans="1:2" x14ac:dyDescent="0.25">
      <c r="A1021" t="s">
        <v>569</v>
      </c>
      <c r="B1021" s="5" t="s">
        <v>3870</v>
      </c>
    </row>
    <row r="1022" spans="1:2" x14ac:dyDescent="0.25">
      <c r="A1022" t="s">
        <v>571</v>
      </c>
      <c r="B1022" s="5" t="s">
        <v>3870</v>
      </c>
    </row>
    <row r="1023" spans="1:2" x14ac:dyDescent="0.25">
      <c r="A1023" t="s">
        <v>573</v>
      </c>
      <c r="B1023" s="5" t="s">
        <v>3870</v>
      </c>
    </row>
    <row r="1024" spans="1:2" x14ac:dyDescent="0.25">
      <c r="A1024" t="s">
        <v>575</v>
      </c>
      <c r="B1024" s="5" t="s">
        <v>3870</v>
      </c>
    </row>
    <row r="1025" spans="1:2" x14ac:dyDescent="0.25">
      <c r="A1025" t="s">
        <v>577</v>
      </c>
      <c r="B1025" s="5" t="s">
        <v>4462</v>
      </c>
    </row>
    <row r="1026" spans="1:2" x14ac:dyDescent="0.25">
      <c r="A1026" t="s">
        <v>579</v>
      </c>
      <c r="B1026" s="5" t="s">
        <v>3884</v>
      </c>
    </row>
    <row r="1027" spans="1:2" x14ac:dyDescent="0.25">
      <c r="A1027" t="s">
        <v>581</v>
      </c>
      <c r="B1027" s="5" t="s">
        <v>3884</v>
      </c>
    </row>
    <row r="1028" spans="1:2" x14ac:dyDescent="0.25">
      <c r="A1028" t="s">
        <v>583</v>
      </c>
      <c r="B1028" s="5" t="s">
        <v>3884</v>
      </c>
    </row>
    <row r="1029" spans="1:2" x14ac:dyDescent="0.25">
      <c r="A1029" t="s">
        <v>585</v>
      </c>
      <c r="B1029" s="5" t="s">
        <v>3884</v>
      </c>
    </row>
    <row r="1030" spans="1:2" x14ac:dyDescent="0.25">
      <c r="A1030" t="s">
        <v>587</v>
      </c>
      <c r="B1030" s="5" t="s">
        <v>3977</v>
      </c>
    </row>
    <row r="1031" spans="1:2" x14ac:dyDescent="0.25">
      <c r="A1031" t="s">
        <v>589</v>
      </c>
      <c r="B1031" s="5" t="s">
        <v>3977</v>
      </c>
    </row>
    <row r="1032" spans="1:2" x14ac:dyDescent="0.25">
      <c r="A1032" t="s">
        <v>591</v>
      </c>
      <c r="B1032" s="5" t="s">
        <v>4284</v>
      </c>
    </row>
    <row r="1033" spans="1:2" x14ac:dyDescent="0.25">
      <c r="A1033" t="s">
        <v>592</v>
      </c>
      <c r="B1033" s="5" t="s">
        <v>3870</v>
      </c>
    </row>
    <row r="1034" spans="1:2" x14ac:dyDescent="0.25">
      <c r="A1034" t="s">
        <v>594</v>
      </c>
      <c r="B1034" s="5" t="s">
        <v>3884</v>
      </c>
    </row>
    <row r="1035" spans="1:2" x14ac:dyDescent="0.25">
      <c r="A1035" t="s">
        <v>596</v>
      </c>
      <c r="B1035" s="5" t="s">
        <v>3949</v>
      </c>
    </row>
    <row r="1036" spans="1:2" x14ac:dyDescent="0.25">
      <c r="A1036" t="s">
        <v>598</v>
      </c>
      <c r="B1036" s="5" t="s">
        <v>3884</v>
      </c>
    </row>
    <row r="1037" spans="1:2" x14ac:dyDescent="0.25">
      <c r="A1037" t="s">
        <v>600</v>
      </c>
      <c r="B1037" s="5" t="s">
        <v>3884</v>
      </c>
    </row>
    <row r="1038" spans="1:2" x14ac:dyDescent="0.25">
      <c r="A1038" t="s">
        <v>602</v>
      </c>
      <c r="B1038" s="5" t="s">
        <v>3884</v>
      </c>
    </row>
    <row r="1039" spans="1:2" x14ac:dyDescent="0.25">
      <c r="A1039" t="s">
        <v>604</v>
      </c>
      <c r="B1039" s="5" t="s">
        <v>3884</v>
      </c>
    </row>
    <row r="1040" spans="1:2" x14ac:dyDescent="0.25">
      <c r="A1040" t="s">
        <v>606</v>
      </c>
      <c r="B1040" s="5" t="s">
        <v>3884</v>
      </c>
    </row>
    <row r="1041" spans="1:2" x14ac:dyDescent="0.25">
      <c r="A1041" t="s">
        <v>608</v>
      </c>
      <c r="B1041" s="5" t="s">
        <v>3878</v>
      </c>
    </row>
    <row r="1042" spans="1:2" x14ac:dyDescent="0.25">
      <c r="A1042" t="s">
        <v>610</v>
      </c>
      <c r="B1042" s="5" t="s">
        <v>3949</v>
      </c>
    </row>
    <row r="1043" spans="1:2" x14ac:dyDescent="0.25">
      <c r="A1043" t="s">
        <v>612</v>
      </c>
      <c r="B1043" s="5" t="s">
        <v>3894</v>
      </c>
    </row>
    <row r="1044" spans="1:2" x14ac:dyDescent="0.25">
      <c r="A1044" t="s">
        <v>614</v>
      </c>
      <c r="B1044" s="5" t="s">
        <v>3894</v>
      </c>
    </row>
    <row r="1045" spans="1:2" x14ac:dyDescent="0.25">
      <c r="A1045" t="s">
        <v>616</v>
      </c>
      <c r="B1045" s="5" t="s">
        <v>3878</v>
      </c>
    </row>
    <row r="1046" spans="1:2" x14ac:dyDescent="0.25">
      <c r="A1046" t="s">
        <v>618</v>
      </c>
      <c r="B1046" s="5" t="s">
        <v>3878</v>
      </c>
    </row>
    <row r="1047" spans="1:2" x14ac:dyDescent="0.25">
      <c r="A1047" t="s">
        <v>620</v>
      </c>
      <c r="B1047" s="5" t="s">
        <v>3878</v>
      </c>
    </row>
    <row r="1048" spans="1:2" x14ac:dyDescent="0.25">
      <c r="A1048" t="s">
        <v>622</v>
      </c>
      <c r="B1048" s="5" t="s">
        <v>3878</v>
      </c>
    </row>
    <row r="1049" spans="1:2" x14ac:dyDescent="0.25">
      <c r="A1049" t="s">
        <v>624</v>
      </c>
      <c r="B1049" s="5" t="s">
        <v>3949</v>
      </c>
    </row>
    <row r="1050" spans="1:2" x14ac:dyDescent="0.25">
      <c r="A1050" t="s">
        <v>626</v>
      </c>
      <c r="B1050" s="5" t="s">
        <v>3949</v>
      </c>
    </row>
    <row r="1051" spans="1:2" x14ac:dyDescent="0.25">
      <c r="A1051" t="s">
        <v>628</v>
      </c>
      <c r="B1051" s="5" t="s">
        <v>3870</v>
      </c>
    </row>
    <row r="1052" spans="1:2" x14ac:dyDescent="0.25">
      <c r="A1052" t="s">
        <v>630</v>
      </c>
      <c r="B1052" s="5" t="s">
        <v>3870</v>
      </c>
    </row>
    <row r="1053" spans="1:2" x14ac:dyDescent="0.25">
      <c r="A1053" t="s">
        <v>632</v>
      </c>
      <c r="B1053" s="5" t="s">
        <v>3878</v>
      </c>
    </row>
    <row r="1054" spans="1:2" x14ac:dyDescent="0.25">
      <c r="A1054" t="s">
        <v>634</v>
      </c>
      <c r="B1054" s="5" t="s">
        <v>3878</v>
      </c>
    </row>
    <row r="1055" spans="1:2" x14ac:dyDescent="0.25">
      <c r="A1055" t="s">
        <v>636</v>
      </c>
      <c r="B1055" s="5" t="s">
        <v>3878</v>
      </c>
    </row>
    <row r="1056" spans="1:2" x14ac:dyDescent="0.25">
      <c r="A1056" t="s">
        <v>638</v>
      </c>
      <c r="B1056" s="5" t="s">
        <v>4291</v>
      </c>
    </row>
    <row r="1057" spans="1:2" x14ac:dyDescent="0.25">
      <c r="A1057" t="s">
        <v>640</v>
      </c>
      <c r="B1057" s="5" t="s">
        <v>4094</v>
      </c>
    </row>
    <row r="1058" spans="1:2" x14ac:dyDescent="0.25">
      <c r="A1058" t="s">
        <v>642</v>
      </c>
      <c r="B1058" s="5" t="s">
        <v>4094</v>
      </c>
    </row>
    <row r="1059" spans="1:2" x14ac:dyDescent="0.25">
      <c r="A1059" t="s">
        <v>644</v>
      </c>
      <c r="B1059" s="5" t="s">
        <v>3870</v>
      </c>
    </row>
    <row r="1060" spans="1:2" x14ac:dyDescent="0.25">
      <c r="A1060" t="s">
        <v>646</v>
      </c>
      <c r="B1060" s="5" t="s">
        <v>3870</v>
      </c>
    </row>
    <row r="1061" spans="1:2" x14ac:dyDescent="0.25">
      <c r="A1061" t="s">
        <v>648</v>
      </c>
      <c r="B1061" s="5" t="s">
        <v>3878</v>
      </c>
    </row>
    <row r="1062" spans="1:2" x14ac:dyDescent="0.25">
      <c r="A1062" t="s">
        <v>650</v>
      </c>
      <c r="B1062" s="5" t="s">
        <v>3878</v>
      </c>
    </row>
    <row r="1063" spans="1:2" x14ac:dyDescent="0.25">
      <c r="A1063" t="s">
        <v>652</v>
      </c>
      <c r="B1063" s="5" t="s">
        <v>3870</v>
      </c>
    </row>
    <row r="1064" spans="1:2" x14ac:dyDescent="0.25">
      <c r="A1064" t="s">
        <v>654</v>
      </c>
      <c r="B1064" s="5" t="s">
        <v>3878</v>
      </c>
    </row>
    <row r="1065" spans="1:2" x14ac:dyDescent="0.25">
      <c r="A1065" t="s">
        <v>656</v>
      </c>
      <c r="B1065" s="5" t="s">
        <v>3870</v>
      </c>
    </row>
    <row r="1066" spans="1:2" x14ac:dyDescent="0.25">
      <c r="A1066" t="s">
        <v>658</v>
      </c>
      <c r="B1066" s="5" t="s">
        <v>3870</v>
      </c>
    </row>
    <row r="1067" spans="1:2" x14ac:dyDescent="0.25">
      <c r="A1067" t="s">
        <v>660</v>
      </c>
      <c r="B1067" s="5" t="s">
        <v>3870</v>
      </c>
    </row>
    <row r="1068" spans="1:2" x14ac:dyDescent="0.25">
      <c r="A1068" t="s">
        <v>662</v>
      </c>
      <c r="B1068" s="5" t="s">
        <v>3870</v>
      </c>
    </row>
    <row r="1069" spans="1:2" x14ac:dyDescent="0.25">
      <c r="A1069" t="s">
        <v>664</v>
      </c>
      <c r="B1069" s="5" t="s">
        <v>4067</v>
      </c>
    </row>
    <row r="1070" spans="1:2" x14ac:dyDescent="0.25">
      <c r="A1070" t="s">
        <v>666</v>
      </c>
      <c r="B1070" s="5" t="s">
        <v>4067</v>
      </c>
    </row>
    <row r="1071" spans="1:2" x14ac:dyDescent="0.25">
      <c r="A1071" t="s">
        <v>668</v>
      </c>
      <c r="B1071" s="5" t="s">
        <v>3991</v>
      </c>
    </row>
    <row r="1072" spans="1:2" x14ac:dyDescent="0.25">
      <c r="A1072" t="s">
        <v>670</v>
      </c>
      <c r="B1072" s="5" t="s">
        <v>4094</v>
      </c>
    </row>
    <row r="1073" spans="1:2" x14ac:dyDescent="0.25">
      <c r="A1073" t="s">
        <v>672</v>
      </c>
      <c r="B1073" s="5" t="s">
        <v>3949</v>
      </c>
    </row>
    <row r="1074" spans="1:2" x14ac:dyDescent="0.25">
      <c r="A1074" t="s">
        <v>674</v>
      </c>
      <c r="B1074" s="5" t="s">
        <v>3878</v>
      </c>
    </row>
    <row r="1075" spans="1:2" x14ac:dyDescent="0.25">
      <c r="A1075" t="s">
        <v>676</v>
      </c>
      <c r="B1075" s="5" t="s">
        <v>3939</v>
      </c>
    </row>
    <row r="1076" spans="1:2" x14ac:dyDescent="0.25">
      <c r="A1076" t="s">
        <v>677</v>
      </c>
      <c r="B1076" s="5" t="s">
        <v>3878</v>
      </c>
    </row>
    <row r="1077" spans="1:2" x14ac:dyDescent="0.25">
      <c r="A1077" t="s">
        <v>679</v>
      </c>
      <c r="B1077" s="5" t="s">
        <v>3878</v>
      </c>
    </row>
    <row r="1078" spans="1:2" x14ac:dyDescent="0.25">
      <c r="A1078" t="s">
        <v>681</v>
      </c>
      <c r="B1078" s="5" t="s">
        <v>4562</v>
      </c>
    </row>
    <row r="1079" spans="1:2" x14ac:dyDescent="0.25">
      <c r="A1079" t="s">
        <v>683</v>
      </c>
      <c r="B1079" s="5" t="s">
        <v>3870</v>
      </c>
    </row>
    <row r="1080" spans="1:2" x14ac:dyDescent="0.25">
      <c r="A1080" t="s">
        <v>685</v>
      </c>
      <c r="B1080" s="5" t="s">
        <v>3870</v>
      </c>
    </row>
    <row r="1081" spans="1:2" x14ac:dyDescent="0.25">
      <c r="A1081" t="s">
        <v>687</v>
      </c>
      <c r="B1081" s="5" t="s">
        <v>4094</v>
      </c>
    </row>
    <row r="1082" spans="1:2" x14ac:dyDescent="0.25">
      <c r="A1082" t="s">
        <v>689</v>
      </c>
      <c r="B1082" s="5" t="s">
        <v>4094</v>
      </c>
    </row>
    <row r="1083" spans="1:2" x14ac:dyDescent="0.25">
      <c r="A1083" t="s">
        <v>691</v>
      </c>
      <c r="B1083" s="5" t="s">
        <v>4043</v>
      </c>
    </row>
    <row r="1084" spans="1:2" x14ac:dyDescent="0.25">
      <c r="A1084" t="s">
        <v>692</v>
      </c>
      <c r="B1084" s="5" t="s">
        <v>3920</v>
      </c>
    </row>
    <row r="1085" spans="1:2" x14ac:dyDescent="0.25">
      <c r="A1085" t="s">
        <v>694</v>
      </c>
      <c r="B1085" s="5" t="s">
        <v>3977</v>
      </c>
    </row>
    <row r="1086" spans="1:2" x14ac:dyDescent="0.25">
      <c r="A1086" t="s">
        <v>696</v>
      </c>
      <c r="B1086" s="5" t="s">
        <v>3977</v>
      </c>
    </row>
    <row r="1087" spans="1:2" x14ac:dyDescent="0.25">
      <c r="A1087" t="s">
        <v>698</v>
      </c>
      <c r="B1087" s="5" t="s">
        <v>3949</v>
      </c>
    </row>
    <row r="1088" spans="1:2" x14ac:dyDescent="0.25">
      <c r="A1088" t="s">
        <v>700</v>
      </c>
      <c r="B1088" s="5" t="s">
        <v>3878</v>
      </c>
    </row>
    <row r="1089" spans="1:2" x14ac:dyDescent="0.25">
      <c r="A1089" t="s">
        <v>702</v>
      </c>
      <c r="B1089" s="5" t="s">
        <v>3878</v>
      </c>
    </row>
    <row r="1090" spans="1:2" x14ac:dyDescent="0.25">
      <c r="A1090" t="s">
        <v>704</v>
      </c>
      <c r="B1090" s="5" t="s">
        <v>3920</v>
      </c>
    </row>
    <row r="1091" spans="1:2" x14ac:dyDescent="0.25">
      <c r="A1091" t="s">
        <v>706</v>
      </c>
      <c r="B1091" s="5" t="s">
        <v>3920</v>
      </c>
    </row>
    <row r="1092" spans="1:2" x14ac:dyDescent="0.25">
      <c r="A1092" t="s">
        <v>708</v>
      </c>
      <c r="B1092" s="5" t="s">
        <v>3920</v>
      </c>
    </row>
    <row r="1093" spans="1:2" x14ac:dyDescent="0.25">
      <c r="A1093" t="s">
        <v>710</v>
      </c>
      <c r="B1093" s="5" t="s">
        <v>3920</v>
      </c>
    </row>
    <row r="1094" spans="1:2" x14ac:dyDescent="0.25">
      <c r="A1094" t="s">
        <v>712</v>
      </c>
      <c r="B1094" s="5" t="s">
        <v>3920</v>
      </c>
    </row>
    <row r="1095" spans="1:2" x14ac:dyDescent="0.25">
      <c r="A1095" t="s">
        <v>714</v>
      </c>
      <c r="B1095" s="5" t="s">
        <v>3920</v>
      </c>
    </row>
    <row r="1096" spans="1:2" x14ac:dyDescent="0.25">
      <c r="A1096" t="s">
        <v>716</v>
      </c>
      <c r="B1096" s="5" t="s">
        <v>3901</v>
      </c>
    </row>
    <row r="1097" spans="1:2" x14ac:dyDescent="0.25">
      <c r="A1097" t="s">
        <v>717</v>
      </c>
      <c r="B1097" s="5" t="s">
        <v>3901</v>
      </c>
    </row>
    <row r="1098" spans="1:2" x14ac:dyDescent="0.25">
      <c r="A1098" t="s">
        <v>718</v>
      </c>
      <c r="B1098" s="5" t="s">
        <v>3901</v>
      </c>
    </row>
    <row r="1099" spans="1:2" x14ac:dyDescent="0.25">
      <c r="A1099" t="s">
        <v>719</v>
      </c>
      <c r="B1099" s="5" t="s">
        <v>3884</v>
      </c>
    </row>
    <row r="1100" spans="1:2" x14ac:dyDescent="0.25">
      <c r="A1100" t="s">
        <v>721</v>
      </c>
      <c r="B1100" s="5" t="s">
        <v>3884</v>
      </c>
    </row>
    <row r="1101" spans="1:2" x14ac:dyDescent="0.25">
      <c r="A1101" t="s">
        <v>723</v>
      </c>
      <c r="B1101" s="5" t="s">
        <v>3884</v>
      </c>
    </row>
    <row r="1102" spans="1:2" x14ac:dyDescent="0.25">
      <c r="A1102" t="s">
        <v>725</v>
      </c>
      <c r="B1102" s="5" t="s">
        <v>3870</v>
      </c>
    </row>
    <row r="1103" spans="1:2" x14ac:dyDescent="0.25">
      <c r="A1103" t="s">
        <v>726</v>
      </c>
      <c r="B1103" s="5" t="s">
        <v>3870</v>
      </c>
    </row>
    <row r="1104" spans="1:2" x14ac:dyDescent="0.25">
      <c r="A1104" t="s">
        <v>728</v>
      </c>
      <c r="B1104" s="5" t="s">
        <v>3870</v>
      </c>
    </row>
    <row r="1105" spans="1:2" x14ac:dyDescent="0.25">
      <c r="A1105" t="s">
        <v>730</v>
      </c>
      <c r="B1105" s="5" t="s">
        <v>3870</v>
      </c>
    </row>
    <row r="1106" spans="1:2" x14ac:dyDescent="0.25">
      <c r="A1106" t="s">
        <v>732</v>
      </c>
      <c r="B1106" s="5" t="s">
        <v>3922</v>
      </c>
    </row>
    <row r="1107" spans="1:2" x14ac:dyDescent="0.25">
      <c r="A1107" t="s">
        <v>734</v>
      </c>
      <c r="B1107" s="5" t="s">
        <v>4097</v>
      </c>
    </row>
    <row r="1108" spans="1:2" x14ac:dyDescent="0.25">
      <c r="A1108" t="s">
        <v>736</v>
      </c>
      <c r="B1108" s="5" t="s">
        <v>3920</v>
      </c>
    </row>
    <row r="1109" spans="1:2" x14ac:dyDescent="0.25">
      <c r="A1109" t="s">
        <v>738</v>
      </c>
      <c r="B1109" s="5" t="s">
        <v>4462</v>
      </c>
    </row>
    <row r="1110" spans="1:2" x14ac:dyDescent="0.25">
      <c r="A1110" t="s">
        <v>740</v>
      </c>
      <c r="B1110" s="5" t="s">
        <v>4097</v>
      </c>
    </row>
    <row r="1111" spans="1:2" x14ac:dyDescent="0.25">
      <c r="A1111" t="s">
        <v>742</v>
      </c>
      <c r="B1111" s="5" t="s">
        <v>4097</v>
      </c>
    </row>
    <row r="1112" spans="1:2" x14ac:dyDescent="0.25">
      <c r="A1112" t="s">
        <v>744</v>
      </c>
      <c r="B1112" s="5" t="s">
        <v>3884</v>
      </c>
    </row>
    <row r="1113" spans="1:2" x14ac:dyDescent="0.25">
      <c r="A1113" t="s">
        <v>746</v>
      </c>
      <c r="B1113" s="5" t="s">
        <v>3884</v>
      </c>
    </row>
    <row r="1114" spans="1:2" x14ac:dyDescent="0.25">
      <c r="A1114" t="s">
        <v>748</v>
      </c>
      <c r="B1114" s="5" t="s">
        <v>3884</v>
      </c>
    </row>
    <row r="1115" spans="1:2" x14ac:dyDescent="0.25">
      <c r="A1115" t="s">
        <v>750</v>
      </c>
      <c r="B1115" s="5" t="s">
        <v>3884</v>
      </c>
    </row>
    <row r="1116" spans="1:2" x14ac:dyDescent="0.25">
      <c r="A1116" t="s">
        <v>752</v>
      </c>
      <c r="B1116" s="5" t="s">
        <v>3884</v>
      </c>
    </row>
    <row r="1117" spans="1:2" x14ac:dyDescent="0.25">
      <c r="A1117" t="s">
        <v>754</v>
      </c>
      <c r="B1117" s="5" t="s">
        <v>3884</v>
      </c>
    </row>
    <row r="1118" spans="1:2" x14ac:dyDescent="0.25">
      <c r="A1118" t="s">
        <v>756</v>
      </c>
      <c r="B1118" s="5" t="s">
        <v>3884</v>
      </c>
    </row>
    <row r="1119" spans="1:2" x14ac:dyDescent="0.25">
      <c r="A1119" t="s">
        <v>758</v>
      </c>
      <c r="B1119" s="5" t="s">
        <v>3884</v>
      </c>
    </row>
    <row r="1120" spans="1:2" x14ac:dyDescent="0.25">
      <c r="A1120" t="s">
        <v>760</v>
      </c>
      <c r="B1120" s="5" t="s">
        <v>4067</v>
      </c>
    </row>
    <row r="1121" spans="1:2" x14ac:dyDescent="0.25">
      <c r="A1121" t="s">
        <v>761</v>
      </c>
      <c r="B1121" s="5" t="s">
        <v>3870</v>
      </c>
    </row>
    <row r="1122" spans="1:2" x14ac:dyDescent="0.25">
      <c r="A1122" t="s">
        <v>763</v>
      </c>
      <c r="B1122" s="5" t="s">
        <v>3901</v>
      </c>
    </row>
    <row r="1123" spans="1:2" x14ac:dyDescent="0.25">
      <c r="A1123" t="s">
        <v>764</v>
      </c>
      <c r="B1123" s="5" t="s">
        <v>4562</v>
      </c>
    </row>
    <row r="1124" spans="1:2" x14ac:dyDescent="0.25">
      <c r="A1124" t="s">
        <v>766</v>
      </c>
      <c r="B1124" s="5" t="s">
        <v>3884</v>
      </c>
    </row>
    <row r="1125" spans="1:2" x14ac:dyDescent="0.25">
      <c r="A1125" t="s">
        <v>768</v>
      </c>
      <c r="B1125" s="5" t="s">
        <v>3870</v>
      </c>
    </row>
    <row r="1126" spans="1:2" x14ac:dyDescent="0.25">
      <c r="A1126" t="s">
        <v>770</v>
      </c>
      <c r="B1126" s="5" t="s">
        <v>3870</v>
      </c>
    </row>
    <row r="1127" spans="1:2" x14ac:dyDescent="0.25">
      <c r="A1127" t="s">
        <v>772</v>
      </c>
      <c r="B1127" s="5" t="s">
        <v>3870</v>
      </c>
    </row>
    <row r="1128" spans="1:2" x14ac:dyDescent="0.25">
      <c r="A1128" t="s">
        <v>774</v>
      </c>
      <c r="B1128" s="5" t="s">
        <v>3870</v>
      </c>
    </row>
    <row r="1129" spans="1:2" x14ac:dyDescent="0.25">
      <c r="A1129" t="s">
        <v>776</v>
      </c>
      <c r="B1129" s="5" t="s">
        <v>3870</v>
      </c>
    </row>
    <row r="1130" spans="1:2" x14ac:dyDescent="0.25">
      <c r="A1130" t="s">
        <v>778</v>
      </c>
      <c r="B1130" s="5" t="s">
        <v>3901</v>
      </c>
    </row>
    <row r="1131" spans="1:2" x14ac:dyDescent="0.25">
      <c r="A1131" t="s">
        <v>780</v>
      </c>
      <c r="B1131" s="5" t="s">
        <v>3939</v>
      </c>
    </row>
    <row r="1132" spans="1:2" x14ac:dyDescent="0.25">
      <c r="A1132" t="s">
        <v>782</v>
      </c>
      <c r="B1132" s="5" t="s">
        <v>3939</v>
      </c>
    </row>
    <row r="1133" spans="1:2" x14ac:dyDescent="0.25">
      <c r="A1133" t="s">
        <v>784</v>
      </c>
      <c r="B1133" s="5" t="s">
        <v>3939</v>
      </c>
    </row>
    <row r="1134" spans="1:2" x14ac:dyDescent="0.25">
      <c r="A1134" t="s">
        <v>786</v>
      </c>
      <c r="B1134" s="5" t="s">
        <v>3894</v>
      </c>
    </row>
    <row r="1135" spans="1:2" x14ac:dyDescent="0.25">
      <c r="A1135" t="s">
        <v>788</v>
      </c>
      <c r="B1135" s="5" t="s">
        <v>4562</v>
      </c>
    </row>
    <row r="1136" spans="1:2" x14ac:dyDescent="0.25">
      <c r="A1136" t="s">
        <v>789</v>
      </c>
      <c r="B1136" s="5" t="s">
        <v>4562</v>
      </c>
    </row>
    <row r="1137" spans="1:2" x14ac:dyDescent="0.25">
      <c r="A1137" t="s">
        <v>790</v>
      </c>
      <c r="B1137" s="5" t="s">
        <v>3878</v>
      </c>
    </row>
    <row r="1138" spans="1:2" x14ac:dyDescent="0.25">
      <c r="A1138" t="s">
        <v>792</v>
      </c>
      <c r="B1138" s="5" t="s">
        <v>3878</v>
      </c>
    </row>
    <row r="1139" spans="1:2" x14ac:dyDescent="0.25">
      <c r="A1139" t="s">
        <v>794</v>
      </c>
      <c r="B1139" s="5" t="s">
        <v>3878</v>
      </c>
    </row>
    <row r="1140" spans="1:2" x14ac:dyDescent="0.25">
      <c r="A1140" t="s">
        <v>796</v>
      </c>
      <c r="B1140" s="5" t="s">
        <v>3991</v>
      </c>
    </row>
    <row r="1141" spans="1:2" x14ac:dyDescent="0.25">
      <c r="A1141" t="s">
        <v>798</v>
      </c>
      <c r="B1141" s="5" t="s">
        <v>3991</v>
      </c>
    </row>
    <row r="1142" spans="1:2" x14ac:dyDescent="0.25">
      <c r="A1142" t="s">
        <v>800</v>
      </c>
      <c r="B1142" s="5" t="s">
        <v>4462</v>
      </c>
    </row>
    <row r="1143" spans="1:2" x14ac:dyDescent="0.25">
      <c r="A1143" t="s">
        <v>802</v>
      </c>
      <c r="B1143" s="5" t="s">
        <v>3884</v>
      </c>
    </row>
    <row r="1144" spans="1:2" x14ac:dyDescent="0.25">
      <c r="A1144" t="s">
        <v>804</v>
      </c>
      <c r="B1144" s="5" t="s">
        <v>3870</v>
      </c>
    </row>
    <row r="1145" spans="1:2" x14ac:dyDescent="0.25">
      <c r="A1145" t="s">
        <v>806</v>
      </c>
      <c r="B1145" s="5" t="s">
        <v>3870</v>
      </c>
    </row>
    <row r="1146" spans="1:2" x14ac:dyDescent="0.25">
      <c r="A1146" t="s">
        <v>808</v>
      </c>
      <c r="B1146" s="5" t="s">
        <v>3870</v>
      </c>
    </row>
    <row r="1147" spans="1:2" x14ac:dyDescent="0.25">
      <c r="A1147" t="s">
        <v>810</v>
      </c>
      <c r="B1147" s="5" t="s">
        <v>3870</v>
      </c>
    </row>
    <row r="1148" spans="1:2" x14ac:dyDescent="0.25">
      <c r="A1148" t="s">
        <v>812</v>
      </c>
      <c r="B1148" s="5" t="s">
        <v>3870</v>
      </c>
    </row>
    <row r="1149" spans="1:2" x14ac:dyDescent="0.25">
      <c r="A1149" t="s">
        <v>814</v>
      </c>
      <c r="B1149" s="5" t="s">
        <v>3870</v>
      </c>
    </row>
    <row r="1150" spans="1:2" x14ac:dyDescent="0.25">
      <c r="A1150" t="s">
        <v>816</v>
      </c>
      <c r="B1150" s="5" t="s">
        <v>3870</v>
      </c>
    </row>
    <row r="1151" spans="1:2" x14ac:dyDescent="0.25">
      <c r="A1151" t="s">
        <v>818</v>
      </c>
      <c r="B1151" s="5" t="s">
        <v>3870</v>
      </c>
    </row>
    <row r="1152" spans="1:2" x14ac:dyDescent="0.25">
      <c r="A1152" t="s">
        <v>820</v>
      </c>
      <c r="B1152" s="5" t="s">
        <v>3870</v>
      </c>
    </row>
    <row r="1153" spans="1:2" x14ac:dyDescent="0.25">
      <c r="A1153" t="s">
        <v>822</v>
      </c>
      <c r="B1153" s="5" t="s">
        <v>3870</v>
      </c>
    </row>
    <row r="1154" spans="1:2" x14ac:dyDescent="0.25">
      <c r="A1154" t="s">
        <v>823</v>
      </c>
      <c r="B1154" s="5" t="s">
        <v>3870</v>
      </c>
    </row>
    <row r="1155" spans="1:2" x14ac:dyDescent="0.25">
      <c r="A1155" t="s">
        <v>825</v>
      </c>
      <c r="B1155" s="5" t="s">
        <v>3870</v>
      </c>
    </row>
    <row r="1156" spans="1:2" x14ac:dyDescent="0.25">
      <c r="A1156" t="s">
        <v>827</v>
      </c>
      <c r="B1156" s="5" t="s">
        <v>3870</v>
      </c>
    </row>
    <row r="1157" spans="1:2" x14ac:dyDescent="0.25">
      <c r="A1157" t="s">
        <v>829</v>
      </c>
      <c r="B1157" s="5" t="s">
        <v>3884</v>
      </c>
    </row>
    <row r="1158" spans="1:2" x14ac:dyDescent="0.25">
      <c r="A1158" t="s">
        <v>830</v>
      </c>
      <c r="B1158" s="5" t="s">
        <v>3884</v>
      </c>
    </row>
    <row r="1159" spans="1:2" x14ac:dyDescent="0.25">
      <c r="A1159" t="s">
        <v>832</v>
      </c>
      <c r="B1159" s="5" t="s">
        <v>3878</v>
      </c>
    </row>
    <row r="1160" spans="1:2" x14ac:dyDescent="0.25">
      <c r="A1160" t="s">
        <v>834</v>
      </c>
      <c r="B1160" s="5" t="s">
        <v>3894</v>
      </c>
    </row>
    <row r="1161" spans="1:2" x14ac:dyDescent="0.25">
      <c r="A1161" t="s">
        <v>836</v>
      </c>
      <c r="B1161" s="5" t="s">
        <v>4330</v>
      </c>
    </row>
    <row r="1162" spans="1:2" x14ac:dyDescent="0.25">
      <c r="A1162" t="s">
        <v>838</v>
      </c>
      <c r="B1162" s="5" t="s">
        <v>4330</v>
      </c>
    </row>
    <row r="1163" spans="1:2" x14ac:dyDescent="0.25">
      <c r="A1163" t="s">
        <v>840</v>
      </c>
      <c r="B1163" s="5" t="s">
        <v>4330</v>
      </c>
    </row>
    <row r="1164" spans="1:2" x14ac:dyDescent="0.25">
      <c r="A1164" t="s">
        <v>842</v>
      </c>
      <c r="B1164" s="5" t="s">
        <v>3894</v>
      </c>
    </row>
    <row r="1165" spans="1:2" x14ac:dyDescent="0.25">
      <c r="A1165" t="s">
        <v>844</v>
      </c>
      <c r="B1165" s="5" t="s">
        <v>3894</v>
      </c>
    </row>
    <row r="1166" spans="1:2" x14ac:dyDescent="0.25">
      <c r="A1166" t="s">
        <v>846</v>
      </c>
      <c r="B1166" s="5" t="s">
        <v>3894</v>
      </c>
    </row>
    <row r="1167" spans="1:2" x14ac:dyDescent="0.25">
      <c r="A1167" t="s">
        <v>848</v>
      </c>
      <c r="B1167" s="5" t="s">
        <v>3878</v>
      </c>
    </row>
    <row r="1168" spans="1:2" x14ac:dyDescent="0.25">
      <c r="A1168" t="s">
        <v>1388</v>
      </c>
      <c r="B1168" s="5" t="s">
        <v>3878</v>
      </c>
    </row>
    <row r="1169" spans="1:2" x14ac:dyDescent="0.25">
      <c r="A1169" t="s">
        <v>850</v>
      </c>
      <c r="B1169" s="5" t="s">
        <v>4097</v>
      </c>
    </row>
    <row r="1170" spans="1:2" x14ac:dyDescent="0.25">
      <c r="A1170" t="s">
        <v>852</v>
      </c>
      <c r="B1170" s="5" t="s">
        <v>4097</v>
      </c>
    </row>
    <row r="1171" spans="1:2" x14ac:dyDescent="0.25">
      <c r="A1171" t="s">
        <v>854</v>
      </c>
      <c r="B1171" s="5" t="s">
        <v>4097</v>
      </c>
    </row>
    <row r="1172" spans="1:2" x14ac:dyDescent="0.25">
      <c r="A1172" t="s">
        <v>856</v>
      </c>
      <c r="B1172" s="5" t="s">
        <v>3878</v>
      </c>
    </row>
    <row r="1173" spans="1:2" x14ac:dyDescent="0.25">
      <c r="A1173" t="s">
        <v>858</v>
      </c>
      <c r="B1173" s="5" t="s">
        <v>3878</v>
      </c>
    </row>
    <row r="1174" spans="1:2" x14ac:dyDescent="0.25">
      <c r="A1174" t="s">
        <v>860</v>
      </c>
      <c r="B1174" s="5" t="s">
        <v>3878</v>
      </c>
    </row>
    <row r="1175" spans="1:2" x14ac:dyDescent="0.25">
      <c r="A1175" t="s">
        <v>862</v>
      </c>
      <c r="B1175" s="5" t="s">
        <v>3878</v>
      </c>
    </row>
    <row r="1176" spans="1:2" x14ac:dyDescent="0.25">
      <c r="A1176" t="s">
        <v>864</v>
      </c>
      <c r="B1176" s="5" t="s">
        <v>3949</v>
      </c>
    </row>
    <row r="1177" spans="1:2" x14ac:dyDescent="0.25">
      <c r="A1177" t="s">
        <v>866</v>
      </c>
      <c r="B1177" s="5" t="s">
        <v>3949</v>
      </c>
    </row>
    <row r="1178" spans="1:2" x14ac:dyDescent="0.25">
      <c r="A1178" t="s">
        <v>868</v>
      </c>
      <c r="B1178" s="5" t="s">
        <v>3949</v>
      </c>
    </row>
    <row r="1179" spans="1:2" x14ac:dyDescent="0.25">
      <c r="A1179" t="s">
        <v>870</v>
      </c>
      <c r="B1179" s="5" t="s">
        <v>3949</v>
      </c>
    </row>
    <row r="1180" spans="1:2" x14ac:dyDescent="0.25">
      <c r="A1180" t="s">
        <v>872</v>
      </c>
      <c r="B1180" s="5" t="s">
        <v>3949</v>
      </c>
    </row>
    <row r="1181" spans="1:2" x14ac:dyDescent="0.25">
      <c r="A1181" t="s">
        <v>874</v>
      </c>
      <c r="B1181" s="5" t="s">
        <v>3949</v>
      </c>
    </row>
    <row r="1182" spans="1:2" x14ac:dyDescent="0.25">
      <c r="A1182" t="s">
        <v>876</v>
      </c>
      <c r="B1182" s="5" t="s">
        <v>3949</v>
      </c>
    </row>
    <row r="1183" spans="1:2" x14ac:dyDescent="0.25">
      <c r="A1183" t="s">
        <v>878</v>
      </c>
      <c r="B1183" s="5" t="s">
        <v>3949</v>
      </c>
    </row>
    <row r="1184" spans="1:2" x14ac:dyDescent="0.25">
      <c r="A1184" t="s">
        <v>880</v>
      </c>
      <c r="B1184" s="5" t="s">
        <v>3878</v>
      </c>
    </row>
    <row r="1185" spans="1:2" x14ac:dyDescent="0.25">
      <c r="A1185" t="s">
        <v>882</v>
      </c>
      <c r="B1185" s="5" t="s">
        <v>3878</v>
      </c>
    </row>
    <row r="1186" spans="1:2" x14ac:dyDescent="0.25">
      <c r="A1186" t="s">
        <v>884</v>
      </c>
      <c r="B1186" s="5" t="s">
        <v>3878</v>
      </c>
    </row>
    <row r="1187" spans="1:2" x14ac:dyDescent="0.25">
      <c r="A1187" t="s">
        <v>886</v>
      </c>
      <c r="B1187" s="5" t="s">
        <v>3878</v>
      </c>
    </row>
    <row r="1188" spans="1:2" x14ac:dyDescent="0.25">
      <c r="A1188" t="s">
        <v>888</v>
      </c>
      <c r="B1188" s="5" t="s">
        <v>3878</v>
      </c>
    </row>
    <row r="1189" spans="1:2" x14ac:dyDescent="0.25">
      <c r="A1189" t="s">
        <v>890</v>
      </c>
      <c r="B1189" s="5" t="s">
        <v>3878</v>
      </c>
    </row>
    <row r="1190" spans="1:2" x14ac:dyDescent="0.25">
      <c r="A1190" t="s">
        <v>892</v>
      </c>
      <c r="B1190" s="5" t="s">
        <v>3878</v>
      </c>
    </row>
    <row r="1191" spans="1:2" x14ac:dyDescent="0.25">
      <c r="A1191" t="s">
        <v>893</v>
      </c>
      <c r="B1191" s="5" t="s">
        <v>3878</v>
      </c>
    </row>
    <row r="1192" spans="1:2" x14ac:dyDescent="0.25">
      <c r="A1192" t="s">
        <v>895</v>
      </c>
      <c r="B1192" s="5" t="s">
        <v>3949</v>
      </c>
    </row>
    <row r="1193" spans="1:2" x14ac:dyDescent="0.25">
      <c r="A1193" t="s">
        <v>897</v>
      </c>
      <c r="B1193" s="5" t="s">
        <v>3949</v>
      </c>
    </row>
    <row r="1194" spans="1:2" x14ac:dyDescent="0.25">
      <c r="A1194" t="s">
        <v>899</v>
      </c>
      <c r="B1194" s="5" t="s">
        <v>3949</v>
      </c>
    </row>
    <row r="1195" spans="1:2" x14ac:dyDescent="0.25">
      <c r="A1195" t="s">
        <v>901</v>
      </c>
      <c r="B1195" s="5" t="s">
        <v>3949</v>
      </c>
    </row>
    <row r="1196" spans="1:2" x14ac:dyDescent="0.25">
      <c r="A1196" t="s">
        <v>903</v>
      </c>
      <c r="B1196" s="5" t="s">
        <v>3949</v>
      </c>
    </row>
    <row r="1197" spans="1:2" x14ac:dyDescent="0.25">
      <c r="A1197" t="s">
        <v>905</v>
      </c>
      <c r="B1197" s="5" t="s">
        <v>3949</v>
      </c>
    </row>
    <row r="1198" spans="1:2" x14ac:dyDescent="0.25">
      <c r="A1198" t="s">
        <v>907</v>
      </c>
      <c r="B1198" s="5" t="s">
        <v>3949</v>
      </c>
    </row>
    <row r="1199" spans="1:2" x14ac:dyDescent="0.25">
      <c r="A1199" t="s">
        <v>909</v>
      </c>
      <c r="B1199" s="5" t="s">
        <v>3949</v>
      </c>
    </row>
    <row r="1200" spans="1:2" x14ac:dyDescent="0.25">
      <c r="A1200" t="s">
        <v>911</v>
      </c>
      <c r="B1200" s="5" t="s">
        <v>3949</v>
      </c>
    </row>
    <row r="1201" spans="1:2" x14ac:dyDescent="0.25">
      <c r="A1201" t="s">
        <v>913</v>
      </c>
      <c r="B1201" s="5" t="s">
        <v>3949</v>
      </c>
    </row>
    <row r="1202" spans="1:2" x14ac:dyDescent="0.25">
      <c r="A1202" t="s">
        <v>915</v>
      </c>
      <c r="B1202" s="5" t="s">
        <v>3949</v>
      </c>
    </row>
    <row r="1203" spans="1:2" x14ac:dyDescent="0.25">
      <c r="A1203" t="s">
        <v>917</v>
      </c>
      <c r="B1203" s="5" t="s">
        <v>3949</v>
      </c>
    </row>
    <row r="1204" spans="1:2" x14ac:dyDescent="0.25">
      <c r="A1204" t="s">
        <v>919</v>
      </c>
      <c r="B1204" s="5" t="s">
        <v>3949</v>
      </c>
    </row>
    <row r="1205" spans="1:2" x14ac:dyDescent="0.25">
      <c r="A1205" t="s">
        <v>921</v>
      </c>
      <c r="B1205" s="5" t="s">
        <v>3949</v>
      </c>
    </row>
    <row r="1206" spans="1:2" x14ac:dyDescent="0.25">
      <c r="A1206" t="s">
        <v>923</v>
      </c>
      <c r="B1206" s="5" t="s">
        <v>3949</v>
      </c>
    </row>
    <row r="1207" spans="1:2" x14ac:dyDescent="0.25">
      <c r="A1207" t="s">
        <v>925</v>
      </c>
      <c r="B1207" s="5" t="s">
        <v>3949</v>
      </c>
    </row>
    <row r="1208" spans="1:2" x14ac:dyDescent="0.25">
      <c r="A1208" t="s">
        <v>927</v>
      </c>
      <c r="B1208" s="5" t="s">
        <v>3949</v>
      </c>
    </row>
    <row r="1209" spans="1:2" x14ac:dyDescent="0.25">
      <c r="A1209" t="s">
        <v>929</v>
      </c>
      <c r="B1209" s="5" t="s">
        <v>3949</v>
      </c>
    </row>
    <row r="1210" spans="1:2" x14ac:dyDescent="0.25">
      <c r="A1210" t="s">
        <v>931</v>
      </c>
      <c r="B1210" s="5" t="s">
        <v>3949</v>
      </c>
    </row>
    <row r="1211" spans="1:2" x14ac:dyDescent="0.25">
      <c r="A1211" t="s">
        <v>933</v>
      </c>
      <c r="B1211" s="5" t="s">
        <v>3949</v>
      </c>
    </row>
    <row r="1212" spans="1:2" x14ac:dyDescent="0.25">
      <c r="A1212" t="s">
        <v>935</v>
      </c>
      <c r="B1212" s="5" t="s">
        <v>3949</v>
      </c>
    </row>
    <row r="1213" spans="1:2" x14ac:dyDescent="0.25">
      <c r="A1213" t="s">
        <v>937</v>
      </c>
      <c r="B1213" s="5" t="s">
        <v>4097</v>
      </c>
    </row>
    <row r="1214" spans="1:2" x14ac:dyDescent="0.25">
      <c r="A1214" t="s">
        <v>939</v>
      </c>
      <c r="B1214" s="5" t="s">
        <v>3870</v>
      </c>
    </row>
    <row r="1215" spans="1:2" x14ac:dyDescent="0.25">
      <c r="A1215" t="s">
        <v>941</v>
      </c>
      <c r="B1215" s="5" t="s">
        <v>3894</v>
      </c>
    </row>
    <row r="1216" spans="1:2" x14ac:dyDescent="0.25">
      <c r="A1216" t="s">
        <v>943</v>
      </c>
      <c r="B1216" s="5" t="s">
        <v>3878</v>
      </c>
    </row>
    <row r="1217" spans="1:2" x14ac:dyDescent="0.25">
      <c r="A1217" t="s">
        <v>945</v>
      </c>
      <c r="B1217" s="5" t="s">
        <v>3878</v>
      </c>
    </row>
    <row r="1218" spans="1:2" x14ac:dyDescent="0.25">
      <c r="A1218" t="s">
        <v>947</v>
      </c>
      <c r="B1218" s="5" t="s">
        <v>3878</v>
      </c>
    </row>
    <row r="1219" spans="1:2" x14ac:dyDescent="0.25">
      <c r="A1219" t="s">
        <v>949</v>
      </c>
      <c r="B1219" s="5" t="s">
        <v>3878</v>
      </c>
    </row>
    <row r="1220" spans="1:2" x14ac:dyDescent="0.25">
      <c r="A1220" t="s">
        <v>951</v>
      </c>
      <c r="B1220" s="5" t="s">
        <v>3920</v>
      </c>
    </row>
    <row r="1221" spans="1:2" x14ac:dyDescent="0.25">
      <c r="A1221" t="s">
        <v>952</v>
      </c>
      <c r="B1221" s="5" t="s">
        <v>3878</v>
      </c>
    </row>
    <row r="1222" spans="1:2" x14ac:dyDescent="0.25">
      <c r="A1222" t="s">
        <v>954</v>
      </c>
      <c r="B1222" s="5" t="s">
        <v>3977</v>
      </c>
    </row>
    <row r="1223" spans="1:2" x14ac:dyDescent="0.25">
      <c r="A1223" t="s">
        <v>955</v>
      </c>
      <c r="B1223" s="5" t="s">
        <v>3878</v>
      </c>
    </row>
    <row r="1224" spans="1:2" x14ac:dyDescent="0.25">
      <c r="A1224" t="s">
        <v>957</v>
      </c>
      <c r="B1224" s="5" t="s">
        <v>3870</v>
      </c>
    </row>
    <row r="1225" spans="1:2" x14ac:dyDescent="0.25">
      <c r="A1225" t="s">
        <v>959</v>
      </c>
      <c r="B1225" s="5" t="s">
        <v>3878</v>
      </c>
    </row>
    <row r="1226" spans="1:2" x14ac:dyDescent="0.25">
      <c r="A1226" t="s">
        <v>960</v>
      </c>
      <c r="B1226" s="5" t="s">
        <v>3878</v>
      </c>
    </row>
    <row r="1227" spans="1:2" x14ac:dyDescent="0.25">
      <c r="A1227" t="s">
        <v>962</v>
      </c>
      <c r="B1227" s="5" t="s">
        <v>3894</v>
      </c>
    </row>
    <row r="1228" spans="1:2" x14ac:dyDescent="0.25">
      <c r="A1228" t="s">
        <v>963</v>
      </c>
      <c r="B1228" s="5" t="s">
        <v>3894</v>
      </c>
    </row>
    <row r="1229" spans="1:2" x14ac:dyDescent="0.25">
      <c r="A1229" t="s">
        <v>965</v>
      </c>
      <c r="B1229" s="5" t="s">
        <v>3977</v>
      </c>
    </row>
    <row r="1230" spans="1:2" x14ac:dyDescent="0.25">
      <c r="A1230" t="s">
        <v>967</v>
      </c>
      <c r="B1230" s="5" t="s">
        <v>3878</v>
      </c>
    </row>
    <row r="1231" spans="1:2" x14ac:dyDescent="0.25">
      <c r="A1231" t="s">
        <v>968</v>
      </c>
      <c r="B1231" s="5" t="s">
        <v>3894</v>
      </c>
    </row>
    <row r="1232" spans="1:2" x14ac:dyDescent="0.25">
      <c r="A1232" t="s">
        <v>970</v>
      </c>
      <c r="B1232" s="5" t="s">
        <v>3894</v>
      </c>
    </row>
    <row r="1233" spans="1:2" x14ac:dyDescent="0.25">
      <c r="A1233" t="s">
        <v>972</v>
      </c>
      <c r="B1233" s="5" t="s">
        <v>3870</v>
      </c>
    </row>
    <row r="1234" spans="1:2" x14ac:dyDescent="0.25">
      <c r="A1234" t="s">
        <v>974</v>
      </c>
      <c r="B1234" s="5" t="s">
        <v>3878</v>
      </c>
    </row>
    <row r="1235" spans="1:2" x14ac:dyDescent="0.25">
      <c r="A1235" t="s">
        <v>976</v>
      </c>
      <c r="B1235" s="5" t="s">
        <v>3884</v>
      </c>
    </row>
    <row r="1236" spans="1:2" x14ac:dyDescent="0.25">
      <c r="A1236" t="s">
        <v>978</v>
      </c>
      <c r="B1236" s="5" t="s">
        <v>3884</v>
      </c>
    </row>
    <row r="1237" spans="1:2" x14ac:dyDescent="0.25">
      <c r="A1237" t="s">
        <v>980</v>
      </c>
      <c r="B1237" s="5" t="s">
        <v>3974</v>
      </c>
    </row>
    <row r="1238" spans="1:2" x14ac:dyDescent="0.25">
      <c r="A1238" t="s">
        <v>982</v>
      </c>
      <c r="B1238" s="5" t="s">
        <v>3901</v>
      </c>
    </row>
    <row r="1239" spans="1:2" x14ac:dyDescent="0.25">
      <c r="A1239" t="s">
        <v>984</v>
      </c>
      <c r="B1239" s="5" t="s">
        <v>4291</v>
      </c>
    </row>
    <row r="1240" spans="1:2" x14ac:dyDescent="0.25">
      <c r="A1240" t="s">
        <v>985</v>
      </c>
      <c r="B1240" s="5" t="s">
        <v>3878</v>
      </c>
    </row>
    <row r="1241" spans="1:2" x14ac:dyDescent="0.25">
      <c r="A1241" t="s">
        <v>987</v>
      </c>
      <c r="B1241" s="5" t="s">
        <v>3878</v>
      </c>
    </row>
    <row r="1242" spans="1:2" x14ac:dyDescent="0.25">
      <c r="A1242" t="s">
        <v>988</v>
      </c>
      <c r="B1242" s="5" t="s">
        <v>3878</v>
      </c>
    </row>
    <row r="1243" spans="1:2" x14ac:dyDescent="0.25">
      <c r="A1243" t="s">
        <v>990</v>
      </c>
      <c r="B1243" s="5" t="s">
        <v>3870</v>
      </c>
    </row>
    <row r="1244" spans="1:2" x14ac:dyDescent="0.25">
      <c r="A1244" t="s">
        <v>992</v>
      </c>
      <c r="B1244" s="5" t="s">
        <v>3884</v>
      </c>
    </row>
    <row r="1245" spans="1:2" x14ac:dyDescent="0.25">
      <c r="A1245" t="s">
        <v>994</v>
      </c>
      <c r="B1245" s="5" t="s">
        <v>3878</v>
      </c>
    </row>
    <row r="1246" spans="1:2" x14ac:dyDescent="0.25">
      <c r="A1246" t="s">
        <v>996</v>
      </c>
      <c r="B1246" s="5" t="s">
        <v>4291</v>
      </c>
    </row>
    <row r="1247" spans="1:2" x14ac:dyDescent="0.25">
      <c r="A1247" t="s">
        <v>998</v>
      </c>
      <c r="B1247" s="5" t="s">
        <v>3870</v>
      </c>
    </row>
    <row r="1248" spans="1:2" x14ac:dyDescent="0.25">
      <c r="A1248" t="s">
        <v>1000</v>
      </c>
      <c r="B1248" s="5" t="s">
        <v>3922</v>
      </c>
    </row>
    <row r="1249" spans="1:2" x14ac:dyDescent="0.25">
      <c r="A1249" t="s">
        <v>1002</v>
      </c>
      <c r="B1249" s="5" t="s">
        <v>3884</v>
      </c>
    </row>
    <row r="1250" spans="1:2" x14ac:dyDescent="0.25">
      <c r="A1250" t="s">
        <v>1004</v>
      </c>
      <c r="B1250" s="5" t="s">
        <v>4392</v>
      </c>
    </row>
    <row r="1251" spans="1:2" x14ac:dyDescent="0.25">
      <c r="A1251" t="s">
        <v>1006</v>
      </c>
      <c r="B1251" s="5" t="s">
        <v>4291</v>
      </c>
    </row>
    <row r="1252" spans="1:2" x14ac:dyDescent="0.25">
      <c r="A1252" t="s">
        <v>1008</v>
      </c>
      <c r="B1252" s="5" t="s">
        <v>4291</v>
      </c>
    </row>
    <row r="1253" spans="1:2" x14ac:dyDescent="0.25">
      <c r="A1253" t="s">
        <v>1010</v>
      </c>
      <c r="B1253" s="5" t="s">
        <v>4284</v>
      </c>
    </row>
    <row r="1254" spans="1:2" x14ac:dyDescent="0.25">
      <c r="A1254" t="s">
        <v>1012</v>
      </c>
      <c r="B1254" s="5" t="s">
        <v>3870</v>
      </c>
    </row>
    <row r="1255" spans="1:2" x14ac:dyDescent="0.25">
      <c r="A1255" t="s">
        <v>1014</v>
      </c>
      <c r="B1255" s="5" t="s">
        <v>4291</v>
      </c>
    </row>
    <row r="1256" spans="1:2" x14ac:dyDescent="0.25">
      <c r="A1256" t="s">
        <v>1016</v>
      </c>
      <c r="B1256" s="5" t="s">
        <v>3870</v>
      </c>
    </row>
    <row r="1257" spans="1:2" x14ac:dyDescent="0.25">
      <c r="A1257" t="s">
        <v>1018</v>
      </c>
      <c r="B1257" s="5" t="s">
        <v>3901</v>
      </c>
    </row>
    <row r="1258" spans="1:2" x14ac:dyDescent="0.25">
      <c r="A1258" t="s">
        <v>1020</v>
      </c>
      <c r="B1258" s="5" t="s">
        <v>3901</v>
      </c>
    </row>
    <row r="1259" spans="1:2" x14ac:dyDescent="0.25">
      <c r="A1259" t="s">
        <v>1022</v>
      </c>
      <c r="B1259" s="5" t="s">
        <v>4043</v>
      </c>
    </row>
    <row r="1260" spans="1:2" x14ac:dyDescent="0.25">
      <c r="A1260" t="s">
        <v>1024</v>
      </c>
      <c r="B1260" s="5" t="s">
        <v>3884</v>
      </c>
    </row>
    <row r="1261" spans="1:2" x14ac:dyDescent="0.25">
      <c r="A1261" t="s">
        <v>1026</v>
      </c>
      <c r="B1261" s="5" t="s">
        <v>3884</v>
      </c>
    </row>
    <row r="1262" spans="1:2" x14ac:dyDescent="0.25">
      <c r="A1262" t="s">
        <v>1028</v>
      </c>
      <c r="B1262" s="5" t="s">
        <v>3884</v>
      </c>
    </row>
    <row r="1263" spans="1:2" x14ac:dyDescent="0.25">
      <c r="A1263" t="s">
        <v>1030</v>
      </c>
      <c r="B1263" s="5" t="s">
        <v>3870</v>
      </c>
    </row>
    <row r="1264" spans="1:2" x14ac:dyDescent="0.25">
      <c r="A1264" t="s">
        <v>1032</v>
      </c>
      <c r="B1264" s="5" t="s">
        <v>3878</v>
      </c>
    </row>
    <row r="1265" spans="1:2" x14ac:dyDescent="0.25">
      <c r="A1265" t="s">
        <v>1034</v>
      </c>
      <c r="B1265" s="5" t="s">
        <v>3878</v>
      </c>
    </row>
    <row r="1266" spans="1:2" x14ac:dyDescent="0.25">
      <c r="A1266" t="s">
        <v>1036</v>
      </c>
      <c r="B1266" s="5" t="s">
        <v>3878</v>
      </c>
    </row>
    <row r="1267" spans="1:2" x14ac:dyDescent="0.25">
      <c r="A1267" t="s">
        <v>1038</v>
      </c>
      <c r="B1267" s="5" t="s">
        <v>4097</v>
      </c>
    </row>
    <row r="1268" spans="1:2" x14ac:dyDescent="0.25">
      <c r="A1268" t="s">
        <v>1039</v>
      </c>
      <c r="B1268" s="5" t="s">
        <v>4562</v>
      </c>
    </row>
    <row r="1269" spans="1:2" x14ac:dyDescent="0.25">
      <c r="A1269" t="s">
        <v>1041</v>
      </c>
      <c r="B1269" s="5" t="s">
        <v>3870</v>
      </c>
    </row>
    <row r="1270" spans="1:2" x14ac:dyDescent="0.25">
      <c r="A1270" t="s">
        <v>1043</v>
      </c>
      <c r="B1270" s="5" t="s">
        <v>3878</v>
      </c>
    </row>
    <row r="1271" spans="1:2" x14ac:dyDescent="0.25">
      <c r="A1271" t="s">
        <v>1045</v>
      </c>
      <c r="B1271" s="5" t="s">
        <v>4562</v>
      </c>
    </row>
    <row r="1272" spans="1:2" x14ac:dyDescent="0.25">
      <c r="A1272" t="s">
        <v>1046</v>
      </c>
      <c r="B1272" s="5" t="s">
        <v>3878</v>
      </c>
    </row>
    <row r="1273" spans="1:2" x14ac:dyDescent="0.25">
      <c r="A1273" t="s">
        <v>1047</v>
      </c>
      <c r="B1273" s="5" t="s">
        <v>4562</v>
      </c>
    </row>
    <row r="1274" spans="1:2" x14ac:dyDescent="0.25">
      <c r="A1274" t="s">
        <v>1048</v>
      </c>
      <c r="B1274" s="5" t="s">
        <v>3870</v>
      </c>
    </row>
    <row r="1275" spans="1:2" x14ac:dyDescent="0.25">
      <c r="A1275" t="s">
        <v>1050</v>
      </c>
      <c r="B1275" s="5" t="s">
        <v>3870</v>
      </c>
    </row>
    <row r="1276" spans="1:2" x14ac:dyDescent="0.25">
      <c r="A1276" t="s">
        <v>1052</v>
      </c>
      <c r="B1276" s="5" t="s">
        <v>3870</v>
      </c>
    </row>
    <row r="1277" spans="1:2" x14ac:dyDescent="0.25">
      <c r="A1277" t="s">
        <v>1054</v>
      </c>
      <c r="B1277" s="5" t="s">
        <v>3878</v>
      </c>
    </row>
    <row r="1278" spans="1:2" x14ac:dyDescent="0.25">
      <c r="A1278" t="s">
        <v>1056</v>
      </c>
      <c r="B1278" s="5" t="s">
        <v>4043</v>
      </c>
    </row>
    <row r="1279" spans="1:2" x14ac:dyDescent="0.25">
      <c r="A1279" t="s">
        <v>1057</v>
      </c>
      <c r="B1279" s="5" t="s">
        <v>4043</v>
      </c>
    </row>
    <row r="1280" spans="1:2" x14ac:dyDescent="0.25">
      <c r="A1280" t="s">
        <v>1058</v>
      </c>
      <c r="B1280" s="5" t="s">
        <v>3878</v>
      </c>
    </row>
    <row r="1281" spans="1:2" x14ac:dyDescent="0.25">
      <c r="A1281" t="s">
        <v>1060</v>
      </c>
      <c r="B1281" s="5" t="s">
        <v>3870</v>
      </c>
    </row>
    <row r="1282" spans="1:2" x14ac:dyDescent="0.25">
      <c r="A1282" t="s">
        <v>1062</v>
      </c>
      <c r="B1282" s="5" t="s">
        <v>4291</v>
      </c>
    </row>
    <row r="1283" spans="1:2" x14ac:dyDescent="0.25">
      <c r="A1283" t="s">
        <v>1064</v>
      </c>
      <c r="B1283" s="5" t="s">
        <v>3884</v>
      </c>
    </row>
    <row r="1284" spans="1:2" x14ac:dyDescent="0.25">
      <c r="A1284" t="s">
        <v>1066</v>
      </c>
      <c r="B1284" s="5" t="s">
        <v>3977</v>
      </c>
    </row>
    <row r="1285" spans="1:2" x14ac:dyDescent="0.25">
      <c r="A1285" t="s">
        <v>1068</v>
      </c>
      <c r="B1285" s="5" t="s">
        <v>4043</v>
      </c>
    </row>
    <row r="1286" spans="1:2" x14ac:dyDescent="0.25">
      <c r="A1286" t="s">
        <v>1070</v>
      </c>
      <c r="B1286" s="5" t="s">
        <v>3977</v>
      </c>
    </row>
    <row r="1287" spans="1:2" x14ac:dyDescent="0.25">
      <c r="A1287" t="s">
        <v>1072</v>
      </c>
      <c r="B1287" s="5" t="s">
        <v>4094</v>
      </c>
    </row>
    <row r="1288" spans="1:2" x14ac:dyDescent="0.25">
      <c r="A1288" t="s">
        <v>1074</v>
      </c>
      <c r="B1288" s="5" t="s">
        <v>3977</v>
      </c>
    </row>
    <row r="1289" spans="1:2" x14ac:dyDescent="0.25">
      <c r="A1289" t="s">
        <v>1076</v>
      </c>
      <c r="B1289" s="5" t="s">
        <v>4094</v>
      </c>
    </row>
    <row r="1290" spans="1:2" x14ac:dyDescent="0.25">
      <c r="A1290" t="s">
        <v>1078</v>
      </c>
      <c r="B1290" s="5" t="s">
        <v>3977</v>
      </c>
    </row>
    <row r="1291" spans="1:2" x14ac:dyDescent="0.25">
      <c r="A1291" t="s">
        <v>1080</v>
      </c>
      <c r="B1291" s="5" t="s">
        <v>4094</v>
      </c>
    </row>
    <row r="1292" spans="1:2" x14ac:dyDescent="0.25">
      <c r="A1292" t="s">
        <v>1082</v>
      </c>
      <c r="B1292" s="5" t="s">
        <v>3894</v>
      </c>
    </row>
    <row r="1293" spans="1:2" x14ac:dyDescent="0.25">
      <c r="A1293" t="s">
        <v>1084</v>
      </c>
      <c r="B1293" s="5" t="s">
        <v>4094</v>
      </c>
    </row>
    <row r="1294" spans="1:2" x14ac:dyDescent="0.25">
      <c r="A1294" t="s">
        <v>1086</v>
      </c>
      <c r="B1294" s="5" t="s">
        <v>4043</v>
      </c>
    </row>
    <row r="1295" spans="1:2" x14ac:dyDescent="0.25">
      <c r="A1295" t="s">
        <v>1088</v>
      </c>
      <c r="B1295" s="5" t="s">
        <v>3901</v>
      </c>
    </row>
    <row r="1296" spans="1:2" x14ac:dyDescent="0.25">
      <c r="A1296" t="s">
        <v>1089</v>
      </c>
      <c r="B1296" s="5" t="s">
        <v>4392</v>
      </c>
    </row>
    <row r="1297" spans="1:2" x14ac:dyDescent="0.25">
      <c r="A1297" t="s">
        <v>1091</v>
      </c>
      <c r="B1297" s="5" t="s">
        <v>4392</v>
      </c>
    </row>
    <row r="1298" spans="1:2" x14ac:dyDescent="0.25">
      <c r="A1298" t="s">
        <v>1093</v>
      </c>
      <c r="B1298" s="5" t="s">
        <v>3901</v>
      </c>
    </row>
    <row r="1299" spans="1:2" x14ac:dyDescent="0.25">
      <c r="A1299" t="s">
        <v>1095</v>
      </c>
      <c r="B1299" s="5" t="s">
        <v>3870</v>
      </c>
    </row>
    <row r="1300" spans="1:2" x14ac:dyDescent="0.25">
      <c r="A1300" t="s">
        <v>1097</v>
      </c>
      <c r="B1300" s="5" t="s">
        <v>3922</v>
      </c>
    </row>
    <row r="1301" spans="1:2" x14ac:dyDescent="0.25">
      <c r="A1301" t="s">
        <v>1099</v>
      </c>
      <c r="B1301" s="5" t="s">
        <v>3878</v>
      </c>
    </row>
    <row r="1302" spans="1:2" x14ac:dyDescent="0.25">
      <c r="A1302" t="s">
        <v>1101</v>
      </c>
      <c r="B1302" s="5" t="s">
        <v>3894</v>
      </c>
    </row>
    <row r="1303" spans="1:2" x14ac:dyDescent="0.25">
      <c r="A1303" t="s">
        <v>1103</v>
      </c>
      <c r="B1303" s="5" t="s">
        <v>3949</v>
      </c>
    </row>
    <row r="1304" spans="1:2" x14ac:dyDescent="0.25">
      <c r="A1304" t="s">
        <v>1105</v>
      </c>
      <c r="B1304" s="5" t="s">
        <v>3949</v>
      </c>
    </row>
    <row r="1305" spans="1:2" x14ac:dyDescent="0.25">
      <c r="A1305" t="s">
        <v>1107</v>
      </c>
      <c r="B1305" s="5" t="s">
        <v>3949</v>
      </c>
    </row>
    <row r="1306" spans="1:2" x14ac:dyDescent="0.25">
      <c r="A1306" t="s">
        <v>1109</v>
      </c>
      <c r="B1306" s="5" t="s">
        <v>3949</v>
      </c>
    </row>
    <row r="1307" spans="1:2" x14ac:dyDescent="0.25">
      <c r="A1307" t="s">
        <v>1111</v>
      </c>
      <c r="B1307" s="5" t="s">
        <v>3949</v>
      </c>
    </row>
    <row r="1308" spans="1:2" x14ac:dyDescent="0.25">
      <c r="A1308" t="s">
        <v>1113</v>
      </c>
      <c r="B1308" s="5" t="s">
        <v>3949</v>
      </c>
    </row>
    <row r="1309" spans="1:2" x14ac:dyDescent="0.25">
      <c r="A1309" t="s">
        <v>1115</v>
      </c>
      <c r="B1309" s="5" t="s">
        <v>3949</v>
      </c>
    </row>
    <row r="1310" spans="1:2" x14ac:dyDescent="0.25">
      <c r="A1310" t="s">
        <v>1117</v>
      </c>
      <c r="B1310" s="5" t="s">
        <v>3878</v>
      </c>
    </row>
    <row r="1311" spans="1:2" x14ac:dyDescent="0.25">
      <c r="A1311" t="s">
        <v>1119</v>
      </c>
      <c r="B1311" s="5" t="s">
        <v>3878</v>
      </c>
    </row>
    <row r="1312" spans="1:2" x14ac:dyDescent="0.25">
      <c r="A1312" t="s">
        <v>1121</v>
      </c>
      <c r="B1312" s="5" t="s">
        <v>3878</v>
      </c>
    </row>
    <row r="1313" spans="1:2" x14ac:dyDescent="0.25">
      <c r="A1313" t="s">
        <v>1123</v>
      </c>
      <c r="B1313" s="5" t="s">
        <v>3878</v>
      </c>
    </row>
    <row r="1314" spans="1:2" x14ac:dyDescent="0.25">
      <c r="A1314" t="s">
        <v>1125</v>
      </c>
      <c r="B1314" s="5" t="s">
        <v>3878</v>
      </c>
    </row>
    <row r="1315" spans="1:2" x14ac:dyDescent="0.25">
      <c r="A1315" t="s">
        <v>1127</v>
      </c>
      <c r="B1315" s="5" t="s">
        <v>4291</v>
      </c>
    </row>
    <row r="1316" spans="1:2" x14ac:dyDescent="0.25">
      <c r="A1316" t="s">
        <v>1129</v>
      </c>
      <c r="B1316" s="5" t="s">
        <v>3949</v>
      </c>
    </row>
    <row r="1317" spans="1:2" x14ac:dyDescent="0.25">
      <c r="A1317" t="s">
        <v>1131</v>
      </c>
      <c r="B1317" s="5" t="s">
        <v>3878</v>
      </c>
    </row>
    <row r="1318" spans="1:2" x14ac:dyDescent="0.25">
      <c r="A1318" t="s">
        <v>1133</v>
      </c>
      <c r="B1318" s="5" t="s">
        <v>3878</v>
      </c>
    </row>
    <row r="1319" spans="1:2" x14ac:dyDescent="0.25">
      <c r="A1319" t="s">
        <v>1135</v>
      </c>
      <c r="B1319" s="5" t="s">
        <v>3878</v>
      </c>
    </row>
    <row r="1320" spans="1:2" x14ac:dyDescent="0.25">
      <c r="A1320" t="s">
        <v>1137</v>
      </c>
      <c r="B1320" s="5" t="s">
        <v>3878</v>
      </c>
    </row>
    <row r="1321" spans="1:2" x14ac:dyDescent="0.25">
      <c r="A1321" t="s">
        <v>1139</v>
      </c>
      <c r="B1321" s="5" t="s">
        <v>3870</v>
      </c>
    </row>
    <row r="1322" spans="1:2" x14ac:dyDescent="0.25">
      <c r="A1322" t="s">
        <v>1141</v>
      </c>
      <c r="B1322" s="5" t="s">
        <v>3870</v>
      </c>
    </row>
    <row r="1323" spans="1:2" x14ac:dyDescent="0.25">
      <c r="A1323" t="s">
        <v>1143</v>
      </c>
      <c r="B1323" s="5" t="s">
        <v>3870</v>
      </c>
    </row>
    <row r="1324" spans="1:2" x14ac:dyDescent="0.25">
      <c r="A1324" t="s">
        <v>1145</v>
      </c>
      <c r="B1324" s="5" t="s">
        <v>3991</v>
      </c>
    </row>
    <row r="1325" spans="1:2" x14ac:dyDescent="0.25">
      <c r="A1325" t="s">
        <v>1147</v>
      </c>
      <c r="B1325" s="5" t="s">
        <v>3870</v>
      </c>
    </row>
    <row r="1326" spans="1:2" x14ac:dyDescent="0.25">
      <c r="A1326" t="s">
        <v>1149</v>
      </c>
      <c r="B1326" s="5" t="s">
        <v>3870</v>
      </c>
    </row>
    <row r="1327" spans="1:2" x14ac:dyDescent="0.25">
      <c r="A1327" t="s">
        <v>1151</v>
      </c>
      <c r="B1327" s="5" t="s">
        <v>3870</v>
      </c>
    </row>
    <row r="1328" spans="1:2" x14ac:dyDescent="0.25">
      <c r="A1328" t="s">
        <v>1153</v>
      </c>
      <c r="B1328" s="5" t="s">
        <v>3949</v>
      </c>
    </row>
    <row r="1329" spans="1:2" x14ac:dyDescent="0.25">
      <c r="A1329" t="s">
        <v>1155</v>
      </c>
      <c r="B1329" s="5" t="s">
        <v>3949</v>
      </c>
    </row>
    <row r="1330" spans="1:2" x14ac:dyDescent="0.25">
      <c r="A1330" t="s">
        <v>1157</v>
      </c>
      <c r="B1330" s="5" t="s">
        <v>3949</v>
      </c>
    </row>
    <row r="1331" spans="1:2" x14ac:dyDescent="0.25">
      <c r="A1331" t="s">
        <v>1159</v>
      </c>
      <c r="B1331" s="5" t="s">
        <v>3949</v>
      </c>
    </row>
    <row r="1332" spans="1:2" x14ac:dyDescent="0.25">
      <c r="A1332" t="s">
        <v>1161</v>
      </c>
      <c r="B1332" s="5" t="s">
        <v>3949</v>
      </c>
    </row>
    <row r="1333" spans="1:2" x14ac:dyDescent="0.25">
      <c r="A1333" t="s">
        <v>1163</v>
      </c>
      <c r="B1333" s="5" t="s">
        <v>3949</v>
      </c>
    </row>
    <row r="1334" spans="1:2" x14ac:dyDescent="0.25">
      <c r="A1334" t="s">
        <v>1165</v>
      </c>
      <c r="B1334" s="5" t="s">
        <v>3949</v>
      </c>
    </row>
    <row r="1335" spans="1:2" x14ac:dyDescent="0.25">
      <c r="A1335" t="s">
        <v>1167</v>
      </c>
      <c r="B1335" s="5" t="s">
        <v>3949</v>
      </c>
    </row>
    <row r="1336" spans="1:2" x14ac:dyDescent="0.25">
      <c r="A1336" t="s">
        <v>1169</v>
      </c>
      <c r="B1336" s="5" t="s">
        <v>4284</v>
      </c>
    </row>
    <row r="1337" spans="1:2" x14ac:dyDescent="0.25">
      <c r="A1337" t="s">
        <v>1171</v>
      </c>
      <c r="B1337" s="5" t="s">
        <v>4284</v>
      </c>
    </row>
    <row r="1338" spans="1:2" x14ac:dyDescent="0.25">
      <c r="A1338" t="s">
        <v>1173</v>
      </c>
      <c r="B1338" s="5" t="s">
        <v>3878</v>
      </c>
    </row>
    <row r="1339" spans="1:2" x14ac:dyDescent="0.25">
      <c r="A1339" t="s">
        <v>1175</v>
      </c>
      <c r="B1339" s="5" t="s">
        <v>3884</v>
      </c>
    </row>
    <row r="1340" spans="1:2" x14ac:dyDescent="0.25">
      <c r="A1340" t="s">
        <v>1177</v>
      </c>
      <c r="B1340" s="5" t="s">
        <v>3894</v>
      </c>
    </row>
    <row r="1341" spans="1:2" x14ac:dyDescent="0.25">
      <c r="A1341" t="s">
        <v>1178</v>
      </c>
      <c r="B1341" s="5" t="s">
        <v>3974</v>
      </c>
    </row>
    <row r="1342" spans="1:2" x14ac:dyDescent="0.25">
      <c r="A1342" t="s">
        <v>1180</v>
      </c>
      <c r="B1342" s="5" t="s">
        <v>3870</v>
      </c>
    </row>
    <row r="1343" spans="1:2" x14ac:dyDescent="0.25">
      <c r="A1343" t="s">
        <v>1182</v>
      </c>
      <c r="B1343" s="5" t="s">
        <v>4067</v>
      </c>
    </row>
    <row r="1344" spans="1:2" x14ac:dyDescent="0.25">
      <c r="A1344" t="s">
        <v>1184</v>
      </c>
      <c r="B1344" s="5" t="s">
        <v>4067</v>
      </c>
    </row>
    <row r="1345" spans="1:2" x14ac:dyDescent="0.25">
      <c r="A1345" t="s">
        <v>1186</v>
      </c>
      <c r="B1345" s="5" t="s">
        <v>3936</v>
      </c>
    </row>
    <row r="1346" spans="1:2" x14ac:dyDescent="0.25">
      <c r="A1346" t="s">
        <v>1188</v>
      </c>
      <c r="B1346" s="5" t="s">
        <v>3878</v>
      </c>
    </row>
    <row r="1347" spans="1:2" x14ac:dyDescent="0.25">
      <c r="A1347" t="s">
        <v>1190</v>
      </c>
      <c r="B1347" s="5" t="s">
        <v>3974</v>
      </c>
    </row>
    <row r="1348" spans="1:2" x14ac:dyDescent="0.25">
      <c r="A1348" t="s">
        <v>1192</v>
      </c>
      <c r="B1348" s="5" t="s">
        <v>4392</v>
      </c>
    </row>
    <row r="1349" spans="1:2" x14ac:dyDescent="0.25">
      <c r="A1349" t="s">
        <v>1194</v>
      </c>
      <c r="B1349" s="5" t="s">
        <v>4392</v>
      </c>
    </row>
    <row r="1350" spans="1:2" x14ac:dyDescent="0.25">
      <c r="A1350" t="s">
        <v>1196</v>
      </c>
      <c r="B1350" s="5" t="s">
        <v>3894</v>
      </c>
    </row>
    <row r="1351" spans="1:2" x14ac:dyDescent="0.25">
      <c r="A1351" t="s">
        <v>1198</v>
      </c>
      <c r="B1351" s="5" t="s">
        <v>3894</v>
      </c>
    </row>
    <row r="1352" spans="1:2" x14ac:dyDescent="0.25">
      <c r="A1352" t="s">
        <v>1200</v>
      </c>
      <c r="B1352" s="5" t="s">
        <v>3878</v>
      </c>
    </row>
    <row r="1353" spans="1:2" x14ac:dyDescent="0.25">
      <c r="A1353" t="s">
        <v>1202</v>
      </c>
      <c r="B1353" s="5" t="s">
        <v>3878</v>
      </c>
    </row>
    <row r="1354" spans="1:2" x14ac:dyDescent="0.25">
      <c r="A1354" t="s">
        <v>1204</v>
      </c>
      <c r="B1354" s="5" t="s">
        <v>3878</v>
      </c>
    </row>
    <row r="1355" spans="1:2" x14ac:dyDescent="0.25">
      <c r="A1355" t="s">
        <v>1206</v>
      </c>
      <c r="B1355" s="5" t="s">
        <v>4043</v>
      </c>
    </row>
    <row r="1356" spans="1:2" x14ac:dyDescent="0.25">
      <c r="A1356" t="s">
        <v>1208</v>
      </c>
      <c r="B1356" s="5" t="s">
        <v>4043</v>
      </c>
    </row>
    <row r="1357" spans="1:2" x14ac:dyDescent="0.25">
      <c r="A1357" t="s">
        <v>1210</v>
      </c>
      <c r="B1357" s="5" t="s">
        <v>3991</v>
      </c>
    </row>
    <row r="1358" spans="1:2" x14ac:dyDescent="0.25">
      <c r="A1358" t="s">
        <v>1212</v>
      </c>
      <c r="B1358" s="5" t="s">
        <v>3894</v>
      </c>
    </row>
    <row r="1359" spans="1:2" x14ac:dyDescent="0.25">
      <c r="A1359" t="s">
        <v>1214</v>
      </c>
      <c r="B1359" s="5" t="s">
        <v>3894</v>
      </c>
    </row>
    <row r="1360" spans="1:2" x14ac:dyDescent="0.25">
      <c r="A1360" t="s">
        <v>1216</v>
      </c>
      <c r="B1360" s="5" t="s">
        <v>3894</v>
      </c>
    </row>
    <row r="1361" spans="1:2" x14ac:dyDescent="0.25">
      <c r="A1361" t="s">
        <v>1218</v>
      </c>
      <c r="B1361" s="5" t="s">
        <v>3894</v>
      </c>
    </row>
    <row r="1362" spans="1:2" x14ac:dyDescent="0.25">
      <c r="A1362" t="s">
        <v>1220</v>
      </c>
      <c r="B1362" s="5" t="s">
        <v>3936</v>
      </c>
    </row>
    <row r="1363" spans="1:2" x14ac:dyDescent="0.25">
      <c r="A1363" t="s">
        <v>1221</v>
      </c>
      <c r="B1363" s="5" t="s">
        <v>3894</v>
      </c>
    </row>
    <row r="1364" spans="1:2" x14ac:dyDescent="0.25">
      <c r="A1364" t="s">
        <v>1223</v>
      </c>
      <c r="B1364" s="5" t="s">
        <v>3894</v>
      </c>
    </row>
    <row r="1365" spans="1:2" x14ac:dyDescent="0.25">
      <c r="A1365" t="s">
        <v>1225</v>
      </c>
      <c r="B1365" s="5" t="s">
        <v>3878</v>
      </c>
    </row>
    <row r="1366" spans="1:2" x14ac:dyDescent="0.25">
      <c r="A1366" t="s">
        <v>1227</v>
      </c>
      <c r="B1366" s="5" t="s">
        <v>3878</v>
      </c>
    </row>
    <row r="1367" spans="1:2" x14ac:dyDescent="0.25">
      <c r="A1367" t="s">
        <v>1229</v>
      </c>
      <c r="B1367" s="5" t="s">
        <v>3939</v>
      </c>
    </row>
    <row r="1368" spans="1:2" x14ac:dyDescent="0.25">
      <c r="A1368" t="s">
        <v>1231</v>
      </c>
      <c r="B1368" s="5" t="s">
        <v>4097</v>
      </c>
    </row>
    <row r="1369" spans="1:2" x14ac:dyDescent="0.25">
      <c r="A1369" t="s">
        <v>1233</v>
      </c>
      <c r="B1369" s="5" t="s">
        <v>3939</v>
      </c>
    </row>
    <row r="1370" spans="1:2" x14ac:dyDescent="0.25">
      <c r="A1370" t="s">
        <v>1235</v>
      </c>
      <c r="B1370" s="5" t="s">
        <v>3974</v>
      </c>
    </row>
    <row r="1371" spans="1:2" x14ac:dyDescent="0.25">
      <c r="A1371" t="s">
        <v>1237</v>
      </c>
      <c r="B1371" s="5" t="s">
        <v>3870</v>
      </c>
    </row>
    <row r="1372" spans="1:2" x14ac:dyDescent="0.25">
      <c r="A1372" t="s">
        <v>1239</v>
      </c>
      <c r="B1372" s="5" t="s">
        <v>4284</v>
      </c>
    </row>
    <row r="1373" spans="1:2" x14ac:dyDescent="0.25">
      <c r="A1373" t="s">
        <v>1241</v>
      </c>
      <c r="B1373" s="5" t="s">
        <v>3870</v>
      </c>
    </row>
    <row r="1374" spans="1:2" x14ac:dyDescent="0.25">
      <c r="A1374" t="s">
        <v>1243</v>
      </c>
      <c r="B1374" s="5" t="s">
        <v>3870</v>
      </c>
    </row>
    <row r="1375" spans="1:2" x14ac:dyDescent="0.25">
      <c r="A1375" t="s">
        <v>1244</v>
      </c>
      <c r="B1375" s="5" t="s">
        <v>3884</v>
      </c>
    </row>
    <row r="1376" spans="1:2" x14ac:dyDescent="0.25">
      <c r="A1376" t="s">
        <v>1246</v>
      </c>
      <c r="B1376" s="5" t="s">
        <v>3884</v>
      </c>
    </row>
    <row r="1377" spans="1:2" x14ac:dyDescent="0.25">
      <c r="A1377" t="s">
        <v>1248</v>
      </c>
      <c r="B1377" s="5" t="s">
        <v>3884</v>
      </c>
    </row>
    <row r="1378" spans="1:2" x14ac:dyDescent="0.25">
      <c r="A1378" t="s">
        <v>1250</v>
      </c>
      <c r="B1378" s="5" t="s">
        <v>3884</v>
      </c>
    </row>
    <row r="1379" spans="1:2" x14ac:dyDescent="0.25">
      <c r="A1379" t="s">
        <v>1252</v>
      </c>
      <c r="B1379" s="5" t="s">
        <v>3884</v>
      </c>
    </row>
    <row r="1380" spans="1:2" x14ac:dyDescent="0.25">
      <c r="A1380" t="s">
        <v>1254</v>
      </c>
      <c r="B1380" s="5" t="s">
        <v>3884</v>
      </c>
    </row>
    <row r="1381" spans="1:2" x14ac:dyDescent="0.25">
      <c r="A1381" t="s">
        <v>1256</v>
      </c>
      <c r="B1381" s="5" t="s">
        <v>3939</v>
      </c>
    </row>
    <row r="1382" spans="1:2" x14ac:dyDescent="0.25">
      <c r="A1382" t="s">
        <v>1257</v>
      </c>
      <c r="B1382" s="5" t="s">
        <v>4097</v>
      </c>
    </row>
    <row r="1383" spans="1:2" x14ac:dyDescent="0.25">
      <c r="A1383" t="s">
        <v>1259</v>
      </c>
      <c r="B1383" s="5" t="s">
        <v>3870</v>
      </c>
    </row>
    <row r="1384" spans="1:2" x14ac:dyDescent="0.25">
      <c r="A1384" t="s">
        <v>1261</v>
      </c>
      <c r="B1384" s="5" t="s">
        <v>4067</v>
      </c>
    </row>
    <row r="1385" spans="1:2" x14ac:dyDescent="0.25">
      <c r="A1385" t="s">
        <v>1263</v>
      </c>
      <c r="B1385" s="5" t="s">
        <v>4067</v>
      </c>
    </row>
    <row r="1386" spans="1:2" x14ac:dyDescent="0.25">
      <c r="A1386" t="s">
        <v>1265</v>
      </c>
      <c r="B1386" s="5" t="s">
        <v>4392</v>
      </c>
    </row>
    <row r="1387" spans="1:2" x14ac:dyDescent="0.25">
      <c r="A1387" t="s">
        <v>1267</v>
      </c>
      <c r="B1387" s="5" t="s">
        <v>3920</v>
      </c>
    </row>
    <row r="1388" spans="1:2" x14ac:dyDescent="0.25">
      <c r="A1388" t="s">
        <v>1269</v>
      </c>
      <c r="B1388" s="5" t="s">
        <v>4067</v>
      </c>
    </row>
    <row r="1389" spans="1:2" x14ac:dyDescent="0.25">
      <c r="A1389" t="s">
        <v>1271</v>
      </c>
      <c r="B1389" s="5" t="s">
        <v>3878</v>
      </c>
    </row>
    <row r="1390" spans="1:2" x14ac:dyDescent="0.25">
      <c r="A1390" t="s">
        <v>1272</v>
      </c>
      <c r="B1390" s="5" t="s">
        <v>4284</v>
      </c>
    </row>
    <row r="1391" spans="1:2" x14ac:dyDescent="0.25">
      <c r="A1391" t="s">
        <v>1274</v>
      </c>
      <c r="B1391" s="5" t="s">
        <v>4284</v>
      </c>
    </row>
    <row r="1392" spans="1:2" x14ac:dyDescent="0.25">
      <c r="A1392" t="s">
        <v>1276</v>
      </c>
      <c r="B1392" s="5" t="s">
        <v>4097</v>
      </c>
    </row>
    <row r="1393" spans="1:2" x14ac:dyDescent="0.25">
      <c r="A1393" t="s">
        <v>1278</v>
      </c>
      <c r="B1393" s="5" t="s">
        <v>4097</v>
      </c>
    </row>
    <row r="1394" spans="1:2" x14ac:dyDescent="0.25">
      <c r="A1394" t="s">
        <v>1280</v>
      </c>
      <c r="B1394" s="5" t="s">
        <v>3949</v>
      </c>
    </row>
    <row r="1395" spans="1:2" x14ac:dyDescent="0.25">
      <c r="A1395" t="s">
        <v>1282</v>
      </c>
      <c r="B1395" s="5" t="s">
        <v>3949</v>
      </c>
    </row>
    <row r="1396" spans="1:2" x14ac:dyDescent="0.25">
      <c r="A1396" t="s">
        <v>1284</v>
      </c>
      <c r="B1396" s="5" t="s">
        <v>3949</v>
      </c>
    </row>
    <row r="1397" spans="1:2" x14ac:dyDescent="0.25">
      <c r="A1397" t="s">
        <v>1286</v>
      </c>
      <c r="B1397" s="5" t="s">
        <v>3878</v>
      </c>
    </row>
    <row r="1398" spans="1:2" x14ac:dyDescent="0.25">
      <c r="A1398" t="s">
        <v>1288</v>
      </c>
      <c r="B1398" s="5" t="s">
        <v>3878</v>
      </c>
    </row>
    <row r="1399" spans="1:2" x14ac:dyDescent="0.25">
      <c r="A1399" t="s">
        <v>1290</v>
      </c>
      <c r="B1399" s="5" t="s">
        <v>3878</v>
      </c>
    </row>
    <row r="1400" spans="1:2" x14ac:dyDescent="0.25">
      <c r="A1400" t="s">
        <v>1292</v>
      </c>
      <c r="B1400" s="5" t="s">
        <v>4291</v>
      </c>
    </row>
    <row r="1401" spans="1:2" x14ac:dyDescent="0.25">
      <c r="A1401" t="s">
        <v>1294</v>
      </c>
      <c r="B1401" s="5" t="s">
        <v>4097</v>
      </c>
    </row>
    <row r="1402" spans="1:2" x14ac:dyDescent="0.25">
      <c r="A1402" t="s">
        <v>1296</v>
      </c>
      <c r="B1402" s="5" t="s">
        <v>3870</v>
      </c>
    </row>
    <row r="1403" spans="1:2" x14ac:dyDescent="0.25">
      <c r="A1403" t="s">
        <v>1298</v>
      </c>
      <c r="B1403" s="5" t="s">
        <v>3870</v>
      </c>
    </row>
    <row r="1404" spans="1:2" x14ac:dyDescent="0.25">
      <c r="A1404" t="s">
        <v>1300</v>
      </c>
      <c r="B1404" s="5" t="s">
        <v>3870</v>
      </c>
    </row>
    <row r="1405" spans="1:2" x14ac:dyDescent="0.25">
      <c r="A1405" t="s">
        <v>1302</v>
      </c>
      <c r="B1405" s="5" t="s">
        <v>3870</v>
      </c>
    </row>
    <row r="1406" spans="1:2" x14ac:dyDescent="0.25">
      <c r="A1406" t="s">
        <v>1390</v>
      </c>
      <c r="B1406" s="5" t="s">
        <v>3870</v>
      </c>
    </row>
    <row r="1407" spans="1:2" x14ac:dyDescent="0.25">
      <c r="A1407" t="s">
        <v>1304</v>
      </c>
      <c r="B1407" s="5" t="s">
        <v>3974</v>
      </c>
    </row>
    <row r="1408" spans="1:2" x14ac:dyDescent="0.25">
      <c r="A1408" t="s">
        <v>1306</v>
      </c>
      <c r="B1408" s="5" t="s">
        <v>4043</v>
      </c>
    </row>
    <row r="1409" spans="1:2" x14ac:dyDescent="0.25">
      <c r="A1409" t="s">
        <v>1308</v>
      </c>
      <c r="B1409" s="5" t="s">
        <v>4043</v>
      </c>
    </row>
    <row r="1410" spans="1:2" x14ac:dyDescent="0.25">
      <c r="A1410" t="s">
        <v>1310</v>
      </c>
      <c r="B1410" s="5" t="s">
        <v>4043</v>
      </c>
    </row>
    <row r="1411" spans="1:2" x14ac:dyDescent="0.25">
      <c r="A1411" t="s">
        <v>1312</v>
      </c>
      <c r="B1411" s="5" t="s">
        <v>4043</v>
      </c>
    </row>
    <row r="1412" spans="1:2" x14ac:dyDescent="0.25">
      <c r="A1412" t="s">
        <v>1314</v>
      </c>
      <c r="B1412" s="5" t="s">
        <v>4440</v>
      </c>
    </row>
    <row r="1413" spans="1:2" x14ac:dyDescent="0.25">
      <c r="A1413" t="s">
        <v>1316</v>
      </c>
      <c r="B1413" s="5" t="s">
        <v>4043</v>
      </c>
    </row>
    <row r="1414" spans="1:2" x14ac:dyDescent="0.25">
      <c r="A1414" t="s">
        <v>1318</v>
      </c>
      <c r="B1414" s="5" t="s">
        <v>3884</v>
      </c>
    </row>
    <row r="1415" spans="1:2" x14ac:dyDescent="0.25">
      <c r="A1415" t="s">
        <v>1320</v>
      </c>
      <c r="B1415" s="5" t="s">
        <v>3884</v>
      </c>
    </row>
    <row r="1416" spans="1:2" x14ac:dyDescent="0.25">
      <c r="A1416" t="s">
        <v>1322</v>
      </c>
      <c r="B1416" s="5" t="s">
        <v>3884</v>
      </c>
    </row>
    <row r="1417" spans="1:2" x14ac:dyDescent="0.25">
      <c r="A1417" t="s">
        <v>1324</v>
      </c>
      <c r="B1417" s="5" t="s">
        <v>3884</v>
      </c>
    </row>
    <row r="1418" spans="1:2" x14ac:dyDescent="0.25">
      <c r="A1418" t="s">
        <v>1326</v>
      </c>
      <c r="B1418" s="5" t="s">
        <v>3884</v>
      </c>
    </row>
    <row r="1419" spans="1:2" x14ac:dyDescent="0.25">
      <c r="A1419" t="s">
        <v>1328</v>
      </c>
      <c r="B1419" s="5" t="s">
        <v>3884</v>
      </c>
    </row>
    <row r="1420" spans="1:2" x14ac:dyDescent="0.25">
      <c r="A1420" t="s">
        <v>1330</v>
      </c>
      <c r="B1420" s="5" t="s">
        <v>3884</v>
      </c>
    </row>
    <row r="1421" spans="1:2" x14ac:dyDescent="0.25">
      <c r="A1421" t="s">
        <v>1332</v>
      </c>
      <c r="B1421" s="5" t="s">
        <v>3884</v>
      </c>
    </row>
    <row r="1422" spans="1:2" x14ac:dyDescent="0.25">
      <c r="A1422" t="s">
        <v>1334</v>
      </c>
      <c r="B1422" s="5" t="s">
        <v>3884</v>
      </c>
    </row>
    <row r="1423" spans="1:2" x14ac:dyDescent="0.25">
      <c r="A1423" t="s">
        <v>1336</v>
      </c>
      <c r="B1423" s="5" t="s">
        <v>3884</v>
      </c>
    </row>
    <row r="1424" spans="1:2" x14ac:dyDescent="0.25">
      <c r="A1424" t="s">
        <v>1338</v>
      </c>
      <c r="B1424" s="5" t="s">
        <v>3884</v>
      </c>
    </row>
    <row r="1425" spans="1:2" x14ac:dyDescent="0.25">
      <c r="A1425" t="s">
        <v>1340</v>
      </c>
      <c r="B1425" s="5" t="s">
        <v>3884</v>
      </c>
    </row>
    <row r="1426" spans="1:2" x14ac:dyDescent="0.25">
      <c r="A1426" t="s">
        <v>1342</v>
      </c>
      <c r="B1426" s="5" t="s">
        <v>3878</v>
      </c>
    </row>
    <row r="1427" spans="1:2" x14ac:dyDescent="0.25">
      <c r="A1427" t="s">
        <v>1344</v>
      </c>
      <c r="B1427" s="5" t="s">
        <v>3870</v>
      </c>
    </row>
    <row r="1428" spans="1:2" x14ac:dyDescent="0.25">
      <c r="A1428" t="s">
        <v>1346</v>
      </c>
      <c r="B1428" s="5" t="s">
        <v>3884</v>
      </c>
    </row>
    <row r="1429" spans="1:2" x14ac:dyDescent="0.25">
      <c r="A1429" t="s">
        <v>1348</v>
      </c>
      <c r="B1429" s="5" t="s">
        <v>3884</v>
      </c>
    </row>
    <row r="1430" spans="1:2" x14ac:dyDescent="0.25">
      <c r="A1430" t="s">
        <v>1350</v>
      </c>
      <c r="B1430" s="5" t="s">
        <v>3870</v>
      </c>
    </row>
    <row r="1431" spans="1:2" x14ac:dyDescent="0.25">
      <c r="A1431" t="s">
        <v>1352</v>
      </c>
      <c r="B1431" s="5" t="s">
        <v>4020</v>
      </c>
    </row>
    <row r="1432" spans="1:2" x14ac:dyDescent="0.25">
      <c r="A1432" t="s">
        <v>1353</v>
      </c>
      <c r="B1432" s="5" t="s">
        <v>3884</v>
      </c>
    </row>
    <row r="1433" spans="1:2" x14ac:dyDescent="0.25">
      <c r="A1433" t="s">
        <v>1355</v>
      </c>
      <c r="B1433" s="5" t="s">
        <v>3884</v>
      </c>
    </row>
    <row r="1434" spans="1:2" x14ac:dyDescent="0.25">
      <c r="A1434" t="s">
        <v>1357</v>
      </c>
      <c r="B1434" s="5" t="s">
        <v>3949</v>
      </c>
    </row>
    <row r="1435" spans="1:2" x14ac:dyDescent="0.25">
      <c r="A1435" t="s">
        <v>1359</v>
      </c>
      <c r="B1435" s="5" t="s">
        <v>3894</v>
      </c>
    </row>
    <row r="1436" spans="1:2" x14ac:dyDescent="0.25">
      <c r="A1436" t="s">
        <v>1361</v>
      </c>
      <c r="B1436" s="5" t="s">
        <v>3878</v>
      </c>
    </row>
    <row r="1437" spans="1:2" x14ac:dyDescent="0.25">
      <c r="A1437" t="s">
        <v>1363</v>
      </c>
      <c r="B1437" s="5" t="s">
        <v>3878</v>
      </c>
    </row>
    <row r="1438" spans="1:2" x14ac:dyDescent="0.25">
      <c r="A1438" t="s">
        <v>1365</v>
      </c>
      <c r="B1438" s="5" t="s">
        <v>3878</v>
      </c>
    </row>
    <row r="1439" spans="1:2" x14ac:dyDescent="0.25">
      <c r="A1439" t="s">
        <v>1366</v>
      </c>
      <c r="B1439" s="5" t="s">
        <v>3949</v>
      </c>
    </row>
    <row r="1440" spans="1:2" x14ac:dyDescent="0.25">
      <c r="A1440" t="s">
        <v>1368</v>
      </c>
      <c r="B1440" s="5" t="s">
        <v>3949</v>
      </c>
    </row>
    <row r="1441" spans="1:2" x14ac:dyDescent="0.25">
      <c r="A1441" t="s">
        <v>1370</v>
      </c>
      <c r="B1441" s="5" t="s">
        <v>3949</v>
      </c>
    </row>
    <row r="1442" spans="1:2" x14ac:dyDescent="0.25">
      <c r="A1442" t="s">
        <v>1372</v>
      </c>
      <c r="B1442" s="5" t="s">
        <v>3884</v>
      </c>
    </row>
    <row r="1443" spans="1:2" x14ac:dyDescent="0.25">
      <c r="A1443" t="s">
        <v>1374</v>
      </c>
      <c r="B1443" s="5" t="s">
        <v>3920</v>
      </c>
    </row>
    <row r="1444" spans="1:2" x14ac:dyDescent="0.25">
      <c r="A1444" t="s">
        <v>1376</v>
      </c>
      <c r="B1444" s="5" t="s">
        <v>4004</v>
      </c>
    </row>
    <row r="1445" spans="1:2" x14ac:dyDescent="0.25">
      <c r="A1445" t="s">
        <v>1378</v>
      </c>
      <c r="B1445" s="5" t="s">
        <v>3870</v>
      </c>
    </row>
    <row r="1446" spans="1:2" x14ac:dyDescent="0.25">
      <c r="A1446" t="s">
        <v>1380</v>
      </c>
      <c r="B1446" s="5" t="s">
        <v>3949</v>
      </c>
    </row>
    <row r="1447" spans="1:2" x14ac:dyDescent="0.25">
      <c r="A1447" t="s">
        <v>1382</v>
      </c>
      <c r="B1447" s="5" t="s">
        <v>3870</v>
      </c>
    </row>
    <row r="1448" spans="1:2" x14ac:dyDescent="0.25">
      <c r="A1448" t="s">
        <v>1384</v>
      </c>
      <c r="B1448" s="5" t="s">
        <v>3870</v>
      </c>
    </row>
    <row r="1449" spans="1:2" x14ac:dyDescent="0.25">
      <c r="A1449" t="s">
        <v>1386</v>
      </c>
      <c r="B1449" s="5" t="s">
        <v>3870</v>
      </c>
    </row>
    <row r="1450" spans="1:2" x14ac:dyDescent="0.25">
      <c r="B1450"/>
    </row>
    <row r="1451" spans="1:2" x14ac:dyDescent="0.25">
      <c r="B1451"/>
    </row>
    <row r="1452" spans="1:2" x14ac:dyDescent="0.25">
      <c r="B1452"/>
    </row>
    <row r="1453" spans="1:2" x14ac:dyDescent="0.25">
      <c r="B1453"/>
    </row>
    <row r="1454" spans="1:2" x14ac:dyDescent="0.25">
      <c r="B1454"/>
    </row>
    <row r="1455" spans="1:2" x14ac:dyDescent="0.25">
      <c r="B1455"/>
    </row>
    <row r="1456" spans="1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</sheetData>
  <conditionalFormatting sqref="A1:A725 A1450:A1048576">
    <cfRule type="duplicateValues" dxfId="3" priority="7"/>
  </conditionalFormatting>
  <conditionalFormatting sqref="A1:A725 A1450:A1048576">
    <cfRule type="duplicateValues" dxfId="2" priority="5"/>
  </conditionalFormatting>
  <conditionalFormatting sqref="A726:A1449">
    <cfRule type="duplicateValues" dxfId="1" priority="3"/>
  </conditionalFormatting>
  <conditionalFormatting sqref="A726:A144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Parameters</vt:lpstr>
      <vt:lpstr>Exchange reactions</vt:lpstr>
      <vt:lpstr>Reactions</vt:lpstr>
      <vt:lpstr>Biomass Composition</vt:lpstr>
      <vt:lpstr>Transmembrane reactions</vt:lpstr>
      <vt:lpstr>Metabolites</vt:lpstr>
      <vt:lpstr>references</vt:lpstr>
      <vt:lpstr>Transmembrane_reactions_reed</vt:lpstr>
      <vt:lpstr>Transmembrane reactions_Orth</vt:lpstr>
      <vt:lpstr>Transmembrane reactions old</vt:lpstr>
      <vt:lpstr>Sheet3</vt:lpstr>
      <vt:lpstr>log</vt:lpstr>
      <vt:lpstr>subsystems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</dc:creator>
  <cp:lastModifiedBy>J.P. Vila Cha Losa</cp:lastModifiedBy>
  <dcterms:created xsi:type="dcterms:W3CDTF">2015-01-26T18:17:21Z</dcterms:created>
  <dcterms:modified xsi:type="dcterms:W3CDTF">2023-07-26T12:30:23Z</dcterms:modified>
</cp:coreProperties>
</file>